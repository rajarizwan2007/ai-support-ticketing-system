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  <sheet state="visible" name="Summary" sheetId="2" r:id="rId6"/>
  </sheets>
  <definedNames>
    <definedName hidden="1" localSheetId="0" name="_xlnm._FilterDatabase">WBS!$A$5:$O$146</definedName>
  </definedNames>
  <calcPr fullCalcOnLoad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Assumption: start Monday 12-Oct-2026. Change this and all dates update. Working days Mon–Fri.</t>
      </text>
    </comment>
  </commentList>
</comments>
</file>

<file path=xl/sharedStrings.xml><?xml version="1.0" encoding="utf-8"?>
<sst xmlns="http://schemas.openxmlformats.org/spreadsheetml/2006/main" count="546" uniqueCount="306">
  <si>
    <t xml:space="preserve">Portfolio Project — WBS (AI Support Ticket System) - 7-Week </t>
  </si>
  <si>
    <t>Project start date (Monday):</t>
  </si>
  <si>
    <t>Legend: edit only the yellow start date and the Status column (yellow). Blue numbers = estimated hours (6.5 h/day, split evenly). Everything else is formulas.</t>
  </si>
  <si>
    <t>WBS ID</t>
  </si>
  <si>
    <t>Level</t>
  </si>
  <si>
    <t>Work item</t>
  </si>
  <si>
    <t>Type</t>
  </si>
  <si>
    <t>Week</t>
  </si>
  <si>
    <t>Day</t>
  </si>
  <si>
    <t>Start</t>
  </si>
  <si>
    <t>Finish</t>
  </si>
  <si>
    <t>Est. hours</t>
  </si>
  <si>
    <t>Status</t>
  </si>
  <si>
    <t>% complete</t>
  </si>
  <si>
    <t>Earned hours</t>
  </si>
  <si>
    <t>Notes</t>
  </si>
  <si>
    <t>1</t>
  </si>
  <si>
    <t>AI Support Ticket System portfolio project</t>
  </si>
  <si>
    <t>Project</t>
  </si>
  <si>
    <t>1.1</t>
  </si>
  <si>
    <t>Week 1: Foundations</t>
  </si>
  <si>
    <t>Phase</t>
  </si>
  <si>
    <t>1.1.1</t>
  </si>
  <si>
    <t>Day 1: Environment</t>
  </si>
  <si>
    <t>Work package</t>
  </si>
  <si>
    <t>1.1.1.1</t>
  </si>
  <si>
    <t>Read what changed in the latest Laravel release</t>
  </si>
  <si>
    <t>Task</t>
  </si>
  <si>
    <t>Done</t>
  </si>
  <si>
    <t>1.1.1.2</t>
  </si>
  <si>
    <t>Create public GitHub repo; Docker Compose with PHP, PostgreSQL (pgvector), Redis</t>
  </si>
  <si>
    <t>1.1.1.3</t>
  </si>
  <si>
    <t>Install Laravel; confirm app, database and Redis connect</t>
  </si>
  <si>
    <t>1.1.1.4</t>
  </si>
  <si>
    <t>First commit + DEVLOG.md</t>
  </si>
  <si>
    <t>1.1.2</t>
  </si>
  <si>
    <t>Day 2: Domain design</t>
  </si>
  <si>
    <t>1.1.2.1</t>
  </si>
  <si>
    <t>Draw ERD: organizations, users, roles, tickets, messages, categories, SLA policies, KB articles</t>
  </si>
  <si>
    <t>1.1.2.2</t>
  </si>
  <si>
    <t>Write ADR-001: multi-tenancy approach</t>
  </si>
  <si>
    <t>1.1.2.3</t>
  </si>
  <si>
    <t>Migrations, models, relationships, factories</t>
  </si>
  <si>
    <t>1.1.3</t>
  </si>
  <si>
    <t>Day 3: Auth and roles</t>
  </si>
  <si>
    <t>1.1.3.1</t>
  </si>
  <si>
    <t>Install Laravel React starter kit (Inertia + TypeScript) for auth</t>
  </si>
  <si>
    <t>1.1.3.2</t>
  </si>
  <si>
    <t>Roles (admin, agent, customer) and ticket policies</t>
  </si>
  <si>
    <t>1.1.3.3</t>
  </si>
  <si>
    <t>Tenant middleware: scope every request to the user's organization</t>
  </si>
  <si>
    <t>1.1.4</t>
  </si>
  <si>
    <t>Day 4: Pest</t>
  </si>
  <si>
    <t>1.1.4.1</t>
  </si>
  <si>
    <t>Learn Pest basics: it(), expect(), datasets, RefreshDatabase</t>
  </si>
  <si>
    <t>1.1.4.2</t>
  </si>
  <si>
    <t>Tests: tenant isolation</t>
  </si>
  <si>
    <t>1.1.4.3</t>
  </si>
  <si>
    <t>Tests: role permissions</t>
  </si>
  <si>
    <t>1.1.5</t>
  </si>
  <si>
    <t>Day 5: Code quality + review</t>
  </si>
  <si>
    <t>1.1.5.1</t>
  </si>
  <si>
    <t>Add Pint and Larastan; fix findings</t>
  </si>
  <si>
    <t>1.1.5.2</t>
  </si>
  <si>
    <t>Move ticket logic into action classes</t>
  </si>
  <si>
    <t>1.1.5.3</t>
  </si>
  <si>
    <t>Seeders: 2 organizations, users per role, sample tickets</t>
  </si>
  <si>
    <t>1.1.5.4</t>
  </si>
  <si>
    <t>Week review: tests green, README stub</t>
  </si>
  <si>
    <t>1.2</t>
  </si>
  <si>
    <t>Week 2: Frontend</t>
  </si>
  <si>
    <t>1.2.1</t>
  </si>
  <si>
    <t>Day 6: TypeScript</t>
  </si>
  <si>
    <t>1.2.1.1</t>
  </si>
  <si>
    <t>Learn types, interfaces, unions, generics, typing React props/events</t>
  </si>
  <si>
    <t>Not started</t>
  </si>
  <si>
    <t>1.2.1.2</t>
  </si>
  <si>
    <t>Shared types for Ticket, Message, User</t>
  </si>
  <si>
    <t>1.2.2</t>
  </si>
  <si>
    <t>Day 7: Inertia + ticket list</t>
  </si>
  <si>
    <t>1.2.2.1</t>
  </si>
  <si>
    <t>Learn Inertia: pages, props, layouts, shared data, useForm</t>
  </si>
  <si>
    <t>1.2.2.2</t>
  </si>
  <si>
    <t>Ticket list page: pagination, filters, search</t>
  </si>
  <si>
    <t>1.2.3</t>
  </si>
  <si>
    <t>Day 8: Create + detail</t>
  </si>
  <si>
    <t>1.2.3.1</t>
  </si>
  <si>
    <t>Create ticket form with validation errors</t>
  </si>
  <si>
    <t>1.2.3.2</t>
  </si>
  <si>
    <t>Ticket detail page with message thread and replies</t>
  </si>
  <si>
    <t>1.2.3.3</t>
  </si>
  <si>
    <t>File attachments (local storage)</t>
  </si>
  <si>
    <t>1.2.4</t>
  </si>
  <si>
    <t>Day 9: Agent view</t>
  </si>
  <si>
    <t>1.2.4.1</t>
  </si>
  <si>
    <t>Assign, change status/priority, internal notes</t>
  </si>
  <si>
    <t>1.2.4.2</t>
  </si>
  <si>
    <t>Flash messages; empty and loading states</t>
  </si>
  <si>
    <t>1.2.4.3</t>
  </si>
  <si>
    <t>Feature tests for each action</t>
  </si>
  <si>
    <t>1.2.5</t>
  </si>
  <si>
    <t>Day 10: CI</t>
  </si>
  <si>
    <t>1.2.5.1</t>
  </si>
  <si>
    <t>GitHub Actions: Pint, Larastan, Pest, type-check, frontend build</t>
  </si>
  <si>
    <t>1.2.5.2</t>
  </si>
  <si>
    <t>CI badge in README; fix anything red</t>
  </si>
  <si>
    <t>1.2.5.3</t>
  </si>
  <si>
    <t>Week review</t>
  </si>
  <si>
    <t>1.3</t>
  </si>
  <si>
    <t>Week 3: Business logic</t>
  </si>
  <si>
    <t>1.3.1</t>
  </si>
  <si>
    <t>Day 11: SLA policies + events</t>
  </si>
  <si>
    <t>1.3.1.1</t>
  </si>
  <si>
    <t>SLA policy per priority: first-response and resolution deadlines</t>
  </si>
  <si>
    <t>1.3.1.2</t>
  </si>
  <si>
    <t>Events: TicketCreated, TicketReplied, TicketStatusChanged</t>
  </si>
  <si>
    <t>1.3.1.3</t>
  </si>
  <si>
    <t>Calculate and store due dates on ticket creation</t>
  </si>
  <si>
    <t>1.3.2</t>
  </si>
  <si>
    <t>Day 12: Queues + Horizon</t>
  </si>
  <si>
    <t>1.3.2.1</t>
  </si>
  <si>
    <t>Learn Redis queues and Horizon; queue worker in Docker</t>
  </si>
  <si>
    <t>1.3.2.2</t>
  </si>
  <si>
    <t>Queued listeners for the events</t>
  </si>
  <si>
    <t>1.3.2.3</t>
  </si>
  <si>
    <t>Scheduled command: find SLA breaches, dispatch escalation job</t>
  </si>
  <si>
    <t>1.3.3</t>
  </si>
  <si>
    <t>Day 13: Notifications</t>
  </si>
  <si>
    <t>1.3.3.1</t>
  </si>
  <si>
    <t>Mail (Mailpit) + database notifications for assign, reply, breach</t>
  </si>
  <si>
    <t>1.3.3.2</t>
  </si>
  <si>
    <t>Notification bell in the UI</t>
  </si>
  <si>
    <t>1.3.4</t>
  </si>
  <si>
    <t>Day 14: Public REST API</t>
  </si>
  <si>
    <t>1.3.4.1</t>
  </si>
  <si>
    <t>Sanctum API tokens per organization</t>
  </si>
  <si>
    <t>1.3.4.2</t>
  </si>
  <si>
    <t>Endpoints: create, list, show; API Resources; rate limiting</t>
  </si>
  <si>
    <t>1.3.4.3</t>
  </si>
  <si>
    <t>Generate API docs (e.g. Scribe)</t>
  </si>
  <si>
    <t>1.3.5</t>
  </si>
  <si>
    <t>Day 15: Tests + buffer</t>
  </si>
  <si>
    <t>1.3.5.1</t>
  </si>
  <si>
    <t>Feature tests: ticket lifecycle, SLA breach, Queue/Notification fakes</t>
  </si>
  <si>
    <t>1.3.5.2</t>
  </si>
  <si>
    <t>API tests: auth, tenant isolation, rate limit</t>
  </si>
  <si>
    <t>1.3.5.3</t>
  </si>
  <si>
    <t>Catch up on anything unfinished</t>
  </si>
  <si>
    <t>1.4</t>
  </si>
  <si>
    <t>Week 4: Python + FastAPI</t>
  </si>
  <si>
    <t>1.4.1</t>
  </si>
  <si>
    <t>Day 16: Python fundamentals</t>
  </si>
  <si>
    <t>1.4.1.1</t>
  </si>
  <si>
    <t>Virtual environments and package manager (pip or uv)</t>
  </si>
  <si>
    <t>1.4.1.2</t>
  </si>
  <si>
    <t>Types, functions, classes, dataclasses, modules, exceptions, type hints</t>
  </si>
  <si>
    <t>1.4.1.3</t>
  </si>
  <si>
    <t>5 small scripts; compare concepts to PHP in DEVLOG.md</t>
  </si>
  <si>
    <t>1.4.2</t>
  </si>
  <si>
    <t>Day 17: Python for services</t>
  </si>
  <si>
    <t>1.4.2.1</t>
  </si>
  <si>
    <t>Pydantic, async/await basics, HTTP calls with httpx</t>
  </si>
  <si>
    <t>1.4.2.2</t>
  </si>
  <si>
    <t>pytest basics: fixtures, parametrize</t>
  </si>
  <si>
    <t>1.4.3</t>
  </si>
  <si>
    <t>Day 18: FastAPI</t>
  </si>
  <si>
    <t>1.4.3.1</t>
  </si>
  <si>
    <t>Routes, request/response models, dependency injection, OpenAPI docs</t>
  </si>
  <si>
    <t>1.4.3.2</t>
  </si>
  <si>
    <t>Dockerfile; add service to Docker Compose</t>
  </si>
  <si>
    <t>1.4.3.3</t>
  </si>
  <si>
    <t>Laravel calls /health successfully</t>
  </si>
  <si>
    <t>1.4.4</t>
  </si>
  <si>
    <t>Day 19: Local AI model</t>
  </si>
  <si>
    <t>1.4.4.1</t>
  </si>
  <si>
    <t>Install Ollama; pull small chat and embedding models</t>
  </si>
  <si>
    <t>1.4.4.2</t>
  </si>
  <si>
    <t>Call both from Python; config via env variables</t>
  </si>
  <si>
    <t>1.4.4.3</t>
  </si>
  <si>
    <t>Note model size, RAM use, response time in DEVLOG.md</t>
  </si>
  <si>
    <t>1.4.5</t>
  </si>
  <si>
    <t>Day 20: Tests + CI + buffer</t>
  </si>
  <si>
    <t>1.4.5.1</t>
  </si>
  <si>
    <t>pytest with TestClient; mock model calls</t>
  </si>
  <si>
    <t>1.4.5.2</t>
  </si>
  <si>
    <t>ruff linting; Python job in GitHub Actions</t>
  </si>
  <si>
    <t>1.4.5.3</t>
  </si>
  <si>
    <t>1.5</t>
  </si>
  <si>
    <t>Week 5: AI features</t>
  </si>
  <si>
    <t>1.5.1</t>
  </si>
  <si>
    <t>Day 21: Embeddings</t>
  </si>
  <si>
    <t>1.5.1.1</t>
  </si>
  <si>
    <t>Learn embeddings and vector similarity</t>
  </si>
  <si>
    <t>1.5.1.2</t>
  </si>
  <si>
    <t>KB articles CRUD in Laravel</t>
  </si>
  <si>
    <t>1.5.1.3</t>
  </si>
  <si>
    <t>Python /embed; Laravel stores vectors in pgvector via queued job</t>
  </si>
  <si>
    <t>1.5.2</t>
  </si>
  <si>
    <t>Day 22: RAG suggested replies</t>
  </si>
  <si>
    <t>1.5.2.1</t>
  </si>
  <si>
    <t>Laravel pgvector similarity query for top KB chunks</t>
  </si>
  <si>
    <t>1.5.2.2</t>
  </si>
  <si>
    <t>Python /suggest-reply returns draft with sources used</t>
  </si>
  <si>
    <t>1.5.3</t>
  </si>
  <si>
    <t>Day 23: Auto-triage</t>
  </si>
  <si>
    <t>1.5.3.1</t>
  </si>
  <si>
    <t>Python /triage returns category, priority, confidence as JSON</t>
  </si>
  <si>
    <t>1.5.3.2</t>
  </si>
  <si>
    <t>Queued job on TicketCreated stores the suggestion</t>
  </si>
  <si>
    <t>1.5.3.3</t>
  </si>
  <si>
    <t>Low confidence to manual review; agent override</t>
  </si>
  <si>
    <t>1.5.4</t>
  </si>
  <si>
    <t>Day 24: Provider layer</t>
  </si>
  <si>
    <t>1.5.4.1</t>
  </si>
  <si>
    <t>One interface, two providers: Ollama and Claude (Claude off)</t>
  </si>
  <si>
    <t>1.5.4.2</t>
  </si>
  <si>
    <t>Versioned prompt files; timeouts and retries</t>
  </si>
  <si>
    <t>1.5.4.3</t>
  </si>
  <si>
    <t>Prompt-injection guard: ticket text treated as data</t>
  </si>
  <si>
    <t>1.5.5</t>
  </si>
  <si>
    <t>Day 25: UI + tests + buffer</t>
  </si>
  <si>
    <t>1.5.5.1</t>
  </si>
  <si>
    <t>Agent view: show triage + suggested reply; accept/edit/reject</t>
  </si>
  <si>
    <t>1.5.5.2</t>
  </si>
  <si>
    <t>Laravel tests with Http::fake; pytest per endpoint</t>
  </si>
  <si>
    <t>1.5.5.3</t>
  </si>
  <si>
    <t>1.6</t>
  </si>
  <si>
    <t>Week 6: Senior-grade quality</t>
  </si>
  <si>
    <t>1.6.1</t>
  </si>
  <si>
    <t>Day 26: AI evaluations</t>
  </si>
  <si>
    <t>1.6.1.1</t>
  </si>
  <si>
    <t>Labeled test set of ~100 tickets (check every label)</t>
  </si>
  <si>
    <t>1.6.1.2</t>
  </si>
  <si>
    <t>Eval script: accuracy per category + confusion matrix; report in repo</t>
  </si>
  <si>
    <t>1.6.2</t>
  </si>
  <si>
    <t>Day 27: Improve + measure</t>
  </si>
  <si>
    <t>1.6.2.1</t>
  </si>
  <si>
    <t>Improve prompts; record before/after accuracy</t>
  </si>
  <si>
    <t>1.6.2.2</t>
  </si>
  <si>
    <t>Log tokens and latency per AI call; admin usage page</t>
  </si>
  <si>
    <t>1.6.3</t>
  </si>
  <si>
    <t>Day 28: Fallbacks</t>
  </si>
  <si>
    <t>1.6.3.1</t>
  </si>
  <si>
    <t>AI down/slow: ticket goes to manual queue</t>
  </si>
  <si>
    <t>1.6.3.2</t>
  </si>
  <si>
    <t>Retries with backoff; failed-jobs handling; failure-path tests</t>
  </si>
  <si>
    <t>1.6.4</t>
  </si>
  <si>
    <t>Day 29: Observability + security</t>
  </si>
  <si>
    <t>1.6.4.1</t>
  </si>
  <si>
    <t>Structured logs with correlation ID Laravel to Python</t>
  </si>
  <si>
    <t>1.6.4.2</t>
  </si>
  <si>
    <t>Laravel Pulse for app health</t>
  </si>
  <si>
    <t>1.6.4.3</t>
  </si>
  <si>
    <t>Security checklist: OWASP, tenant isolation, rate limits, uploads</t>
  </si>
  <si>
    <t>1.6.5</t>
  </si>
  <si>
    <t>Day 30: Load test + buffer</t>
  </si>
  <si>
    <t>1.6.5.1</t>
  </si>
  <si>
    <t>k6 load test on ticket creation and API</t>
  </si>
  <si>
    <t>1.6.5.2</t>
  </si>
  <si>
    <t>Fix one bottleneck; record numbers</t>
  </si>
  <si>
    <t>1.6.5.3</t>
  </si>
  <si>
    <t>1.7</t>
  </si>
  <si>
    <t>Week 7: Deploy + showcase</t>
  </si>
  <si>
    <t>1.7.1</t>
  </si>
  <si>
    <t>Day 31: AWS setup</t>
  </si>
  <si>
    <t>1.7.1.1</t>
  </si>
  <si>
    <t>AWS account on Free plan; billing alert first</t>
  </si>
  <si>
    <t>1.7.1.2</t>
  </si>
  <si>
    <t>IAM user, EC2 instance, security groups, SSH key</t>
  </si>
  <si>
    <t>1.7.1.3</t>
  </si>
  <si>
    <t>Install Docker on the instance</t>
  </si>
  <si>
    <t>1.7.2</t>
  </si>
  <si>
    <t>Day 32: Production stack</t>
  </si>
  <si>
    <t>1.7.2.1</t>
  </si>
  <si>
    <t>Production Compose: Nginx, PHP-FPM, Horizon, scheduler, PostgreSQL, Redis, Python</t>
  </si>
  <si>
    <t>1.7.2.2</t>
  </si>
  <si>
    <t>Secrets in env files, never in Git</t>
  </si>
  <si>
    <t>1.7.2.3</t>
  </si>
  <si>
    <t>sslip.io hostname + Let's Encrypt HTTPS</t>
  </si>
  <si>
    <t>1.7.3</t>
  </si>
  <si>
    <t>Day 33: CD + Claude decision</t>
  </si>
  <si>
    <t>1.7.3.1</t>
  </si>
  <si>
    <t>GitHub Actions deploy over SSH after tests pass; smoke test</t>
  </si>
  <si>
    <t>1.7.3.2</t>
  </si>
  <si>
    <t>Decide on Claude API; if yes, run evals on Haiku 4.5 vs local model</t>
  </si>
  <si>
    <t>1.7.4</t>
  </si>
  <si>
    <t>Day 34: Documentation</t>
  </si>
  <si>
    <t>1.7.4.1</t>
  </si>
  <si>
    <t>README: architecture diagram, setup, screenshots, test/eval results</t>
  </si>
  <si>
    <t>1.7.4.2</t>
  </si>
  <si>
    <t>Finalize ADRs; clean repo; record screen walkthrough</t>
  </si>
  <si>
    <t>1.7.4.3</t>
  </si>
  <si>
    <t>Stop EC2 instance to save credits</t>
  </si>
  <si>
    <t>1.7.5</t>
  </si>
  <si>
    <t>Day 35: CV + interview prep</t>
  </si>
  <si>
    <t>1.7.5.1</t>
  </si>
  <si>
    <t>Add project to CV with real numbers</t>
  </si>
  <si>
    <t>1.7.5.2</t>
  </si>
  <si>
    <t>Write and answer aloud 10 interview questions</t>
  </si>
  <si>
    <t>1.7.5.3</t>
  </si>
  <si>
    <t>Optional: LinkedIn post</t>
  </si>
  <si>
    <t>Progress by week</t>
  </si>
  <si>
    <t>Tasks done</t>
  </si>
  <si>
    <t>Tasks total</t>
  </si>
  <si>
    <t>Total</t>
  </si>
  <si>
    <t>% complete counts In progress tasks as 50%. Status 'Cut' tasks count as not earned.</t>
  </si>
</sst>
</file>

<file path=xl/styles.xml><?xml version="1.0" encoding="UTF-8" standalone="yes"?><styleSheet xmlns="http://schemas.openxmlformats.org/spreadsheetml/2006/main" xmlns:x14ac="http://schemas.microsoft.com/office/spreadsheetml/2009/9/ac" xmlns:mc="http://schemas.openxmlformats.org/markup-compatibility/2006"><numFmts count="3"><numFmt numFmtId="164" formatCode="dd\-mmm\-yyyy"/><numFmt numFmtId="165" formatCode="ddd\ dd\-mmm"/><numFmt numFmtId="166" formatCode="0.0"/></numFmts><fonts count="10"><font><sz val="11.0"/><color theme="1"/><name val="Calibri"/><scheme val="minor"/></font><font><b/><sz val="14.0"/><color theme="1"/><name val="Arial"/></font><font><b/><sz val="11.0"/><color theme="1"/><name val="Arial"/></font><font><b/><sz val="11.0"/><color rgb="FF0000FF"/><name val="Arial"/></font><font><i/><sz val="9.0"/><color theme="1"/><name val="Arial"/></font><font><b/><sz val="11.0"/><color rgb="FFFFFFFF"/><name val="Arial"/></font><font><sz val="11.0"/><color theme="1"/><name val="Arial"/></font><font><sz val="11.0"/><color theme="1"/><name val="Calibri"/></font><font><sz val="11.0"/><color rgb="FF0000FF"/><name val="Arial"/></font><font><u/><sz val="11.0"/><color rgb="FF0563C1"/><name val="Arial"/></font></fonts><fills count="8"><fill><patternFill patternType="none"/></fill><fill><patternFill patternType="lightGray"/></fill><fill><patternFill patternType="solid"><fgColor rgb="FFFFFF00"/><bgColor rgb="FFFFFF00"/></patternFill></fill><fill><patternFill patternType="solid"><fgColor rgb="FF1F3864"/><bgColor rgb="FF1F3864"/></patternFill></fill><fill><patternFill patternType="solid"><fgColor rgb="FFD9E1F2"/><bgColor rgb="FFD9E1F2"/></patternFill></fill><fill><patternFill patternType="solid"><fgColor rgb="FFE7EEF8"/><bgColor rgb="FFE7EEF8"/></patternFill></fill><fill><patternFill patternType="solid"><fgColor rgb="FFF2F2F2"/><bgColor rgb="FFF2F2F2"/></patternFill></fill><fill><patternFill patternType="solid"><fgColor rgb="FF274E13"/><bgColor rgb="FF274E13"/></patternFill></fill></fills><borders count="3"><border/><border><left/><right/><top/><bottom/></border><border><left style="thin"><color rgb="FFBFBFBF"/></left><right style="thin"><color rgb="FFBFBFBF"/></right><top style="thin"><color rgb="FFBFBFBF"/></top><bottom style="thin"><color rgb="FFBFBFBF"/></bottom></border></borders><cellStyleXfs count="1"><xf borderId="0" fillId="0" fontId="0" numFmtId="0" applyAlignment="1" applyFont="1"/></cellStyleXfs><cellXfs count="52"><xf borderId="0" fillId="0" fontId="0" numFmtId="0" xfId="0" applyAlignment="1" applyFont="1"><alignment readingOrder="0" shrinkToFit="0" vertical="bottom" wrapText="0"/></xf><xf borderId="0" fillId="0" fontId="1" numFmtId="0" xfId="0" applyAlignment="1" applyFont="1"><alignment readingOrder="0" shrinkToFit="0" vertical="bottom" wrapText="0"/></xf><xf borderId="0" fillId="0" fontId="2" numFmtId="0" xfId="0" applyAlignment="1" applyFont="1"><alignment shrinkToFit="0" vertical="bottom" wrapText="0"/></xf><xf borderId="1" fillId="2" fontId="3" numFmtId="164" xfId="0" applyAlignment="1" applyBorder="1" applyFill="1" applyFont="1" applyNumberFormat="1"><alignment readingOrder="0" shrinkToFit="0" vertical="bottom" wrapText="0"/></xf><xf borderId="0" fillId="0" fontId="4" numFmtId="0" xfId="0" applyAlignment="1" applyFont="1"><alignment shrinkToFit="0" vertical="bottom" wrapText="0"/></xf><xf borderId="2" fillId="3" fontId="5" numFmtId="0" xfId="0" applyAlignment="1" applyBorder="1" applyFill="1" applyFont="1"><alignment horizontal="center" shrinkToFit="0" vertical="center" wrapText="1"/></xf><xf borderId="2" fillId="4" fontId="2" numFmtId="0" xfId="0" applyAlignment="1" applyBorder="1" applyFill="1" applyFont="1"><alignment horizontal="center" shrinkToFit="0" vertical="center" wrapText="0"/></xf><xf borderId="2" fillId="4" fontId="6" numFmtId="0" xfId="0" applyAlignment="1" applyBorder="1" applyFill="1" applyFont="1"><alignment horizontal="center" shrinkToFit="0" vertical="center" wrapText="0"/></xf><xf borderId="2" fillId="4" fontId="2" numFmtId="0" xfId="0" applyAlignment="1" applyBorder="1" applyFill="1" applyFont="1"><alignment shrinkToFit="0" vertical="center" wrapText="1"/></xf><xf borderId="2" fillId="4" fontId="6" numFmtId="165" xfId="0" applyAlignment="1" applyBorder="1" applyFill="1" applyFont="1" applyNumberFormat="1"><alignment horizontal="center" shrinkToFit="0" vertical="center" wrapText="0"/></xf><xf borderId="2" fillId="4" fontId="7" numFmtId="166" xfId="0" applyAlignment="1" applyBorder="1" applyFill="1" applyFont="1" applyNumberFormat="1"><alignment horizontal="center" shrinkToFit="0" vertical="center" wrapText="0"/></xf><xf borderId="2" fillId="4" fontId="6" numFmtId="9" xfId="0" applyAlignment="1" applyBorder="1" applyFill="1" applyFont="1" applyNumberFormat="1"><alignment horizontal="center" shrinkToFit="0" vertical="center" wrapText="0"/></xf><xf borderId="2" fillId="4" fontId="6" numFmtId="166" xfId="0" applyAlignment="1" applyBorder="1" applyFill="1" applyFont="1" applyNumberFormat="1"><alignment horizontal="center" shrinkToFit="0" vertical="center" wrapText="0"/></xf><xf borderId="2" fillId="4" fontId="6" numFmtId="0" xfId="0" applyAlignment="1" applyBorder="1" applyFill="1" applyFont="1"><alignment horizontal="left" shrinkToFit="0" vertical="center" wrapText="1"/></xf><xf borderId="2" fillId="5" fontId="2" numFmtId="0" xfId="0" applyAlignment="1" applyBorder="1" applyFill="1" applyFont="1"><alignment horizontal="center" shrinkToFit="0" vertical="center" wrapText="0"/></xf><xf borderId="2" fillId="5" fontId="6" numFmtId="0" xfId="0" applyAlignment="1" applyBorder="1" applyFill="1" applyFont="1"><alignment horizontal="center" shrinkToFit="0" vertical="center" wrapText="0"/></xf><xf borderId="2" fillId="5" fontId="2" numFmtId="0" xfId="0" applyAlignment="1" applyBorder="1" applyFill="1" applyFont="1"><alignment shrinkToFit="0" vertical="center" wrapText="1"/></xf><xf borderId="2" fillId="5" fontId="6" numFmtId="165" xfId="0" applyAlignment="1" applyBorder="1" applyFill="1" applyFont="1" applyNumberFormat="1"><alignment horizontal="center" shrinkToFit="0" vertical="center" wrapText="0"/></xf><xf borderId="2" fillId="5" fontId="7" numFmtId="166" xfId="0" applyAlignment="1" applyBorder="1" applyFill="1" applyFont="1" applyNumberFormat="1"><alignment horizontal="center" shrinkToFit="0" vertical="center" wrapText="0"/></xf><xf borderId="2" fillId="5" fontId="6" numFmtId="9" xfId="0" applyAlignment="1" applyBorder="1" applyFill="1" applyFont="1" applyNumberFormat="1"><alignment horizontal="center" shrinkToFit="0" vertical="center" wrapText="0"/></xf><xf borderId="2" fillId="5" fontId="6" numFmtId="166" xfId="0" applyAlignment="1" applyBorder="1" applyFill="1" applyFont="1" applyNumberFormat="1"><alignment horizontal="center" shrinkToFit="0" vertical="center" wrapText="0"/></xf><xf borderId="2" fillId="5" fontId="6" numFmtId="0" xfId="0" applyAlignment="1" applyBorder="1" applyFill="1" applyFont="1"><alignment horizontal="left" shrinkToFit="0" vertical="center" wrapText="1"/></xf><xf borderId="2" fillId="6" fontId="2" numFmtId="0" xfId="0" applyAlignment="1" applyBorder="1" applyFill="1" applyFont="1"><alignment horizontal="center" shrinkToFit="0" vertical="center" wrapText="0"/></xf><xf borderId="2" fillId="6" fontId="6" numFmtId="0" xfId="0" applyAlignment="1" applyBorder="1" applyFill="1" applyFont="1"><alignment horizontal="center" shrinkToFit="0" vertical="center" wrapText="0"/></xf><xf borderId="2" fillId="6" fontId="2" numFmtId="0" xfId="0" applyAlignment="1" applyBorder="1" applyFill="1" applyFont="1"><alignment shrinkToFit="0" vertical="center" wrapText="1"/></xf><xf borderId="2" fillId="6" fontId="6" numFmtId="165" xfId="0" applyAlignment="1" applyBorder="1" applyFill="1" applyFont="1" applyNumberFormat="1"><alignment horizontal="center" shrinkToFit="0" vertical="center" wrapText="0"/></xf><xf borderId="2" fillId="6" fontId="7" numFmtId="166" xfId="0" applyAlignment="1" applyBorder="1" applyFill="1" applyFont="1" applyNumberFormat="1"><alignment horizontal="center" shrinkToFit="0" vertical="center" wrapText="0"/></xf><xf borderId="2" fillId="6" fontId="6" numFmtId="9" xfId="0" applyAlignment="1" applyBorder="1" applyFill="1" applyFont="1" applyNumberFormat="1"><alignment horizontal="center" shrinkToFit="0" vertical="center" wrapText="0"/></xf><xf borderId="2" fillId="6" fontId="6" numFmtId="166" xfId="0" applyAlignment="1" applyBorder="1" applyFill="1" applyFont="1" applyNumberFormat="1"><alignment horizontal="center" shrinkToFit="0" vertical="center" wrapText="0"/></xf><xf borderId="2" fillId="6" fontId="6" numFmtId="0" xfId="0" applyAlignment="1" applyBorder="1" applyFill="1" applyFont="1"><alignment horizontal="left" shrinkToFit="0" vertical="center" wrapText="1"/></xf><xf borderId="2" fillId="0" fontId="6" numFmtId="0" xfId="0" applyAlignment="1" applyBorder="1" applyFont="1"><alignment horizontal="center" shrinkToFit="0" vertical="center" wrapText="0"/></xf><xf borderId="2" fillId="0" fontId="6" numFmtId="0" xfId="0" applyAlignment="1" applyBorder="1" applyFont="1"><alignment shrinkToFit="0" vertical="center" wrapText="1"/></xf><xf borderId="2" fillId="0" fontId="6" numFmtId="165" xfId="0" applyAlignment="1" applyBorder="1" applyFont="1" applyNumberFormat="1"><alignment horizontal="center" shrinkToFit="0" vertical="center" wrapText="0"/></xf><xf borderId="2" fillId="0" fontId="8" numFmtId="166" xfId="0" applyAlignment="1" applyBorder="1" applyFont="1" applyNumberFormat="1"><alignment horizontal="center" shrinkToFit="0" vertical="center" wrapText="0"/></xf><xf borderId="2" fillId="7" fontId="5" numFmtId="0" xfId="0" applyAlignment="1" applyBorder="1" applyFill="1" applyFont="1"><alignment horizontal="center" readingOrder="0" shrinkToFit="0" vertical="center" wrapText="0"/></xf><xf borderId="2" fillId="0" fontId="6" numFmtId="9" xfId="0" applyAlignment="1" applyBorder="1" applyFont="1" applyNumberFormat="1"><alignment horizontal="center" shrinkToFit="0" vertical="center" wrapText="0"/></xf><xf borderId="2" fillId="0" fontId="6" numFmtId="166" xfId="0" applyAlignment="1" applyBorder="1" applyFont="1" applyNumberFormat="1"><alignment horizontal="center" shrinkToFit="0" vertical="center" wrapText="0"/></xf><xf borderId="2" fillId="0" fontId="6" numFmtId="0" xfId="0" applyAlignment="1" applyBorder="1" applyFont="1"><alignment horizontal="left" shrinkToFit="0" vertical="center" wrapText="1"/></xf><xf borderId="2" fillId="2" fontId="6" numFmtId="0" xfId="0" applyAlignment="1" applyBorder="1" applyFill="1" applyFont="1"><alignment horizontal="center" shrinkToFit="0" vertical="center" wrapText="0"/></xf><xf borderId="0" fillId="0" fontId="1" numFmtId="0" xfId="0" applyAlignment="1" applyFont="1"><alignment shrinkToFit="0" vertical="bottom" wrapText="0"/></xf><xf borderId="2" fillId="3" fontId="5" numFmtId="0" xfId="0" applyAlignment="1" applyBorder="1" applyFill="1" applyFont="1"><alignment horizontal="center" shrinkToFit="0" vertical="bottom" wrapText="0"/></xf><xf borderId="2" fillId="0" fontId="6" numFmtId="0" xfId="0" applyAlignment="1" applyBorder="1" applyFont="1"><alignment horizontal="center" shrinkToFit="0" vertical="bottom" wrapText="0"/></xf><xf borderId="2" fillId="0" fontId="6" numFmtId="0" xfId="0" applyAlignment="1" applyBorder="1" applyFont="1"><alignment horizontal="left" shrinkToFit="0" vertical="bottom" wrapText="0"/></xf><xf borderId="2" fillId="0" fontId="6" numFmtId="164" xfId="0" applyAlignment="1" applyBorder="1" applyFont="1" applyNumberFormat="1"><alignment horizontal="center" shrinkToFit="0" vertical="bottom" wrapText="0"/></xf><xf borderId="2" fillId="0" fontId="6" numFmtId="166" xfId="0" applyAlignment="1" applyBorder="1" applyFont="1" applyNumberFormat="1"><alignment horizontal="center" shrinkToFit="0" vertical="bottom" wrapText="0"/></xf><xf borderId="2" fillId="0" fontId="6" numFmtId="9" xfId="0" applyAlignment="1" applyBorder="1" applyFont="1" applyNumberFormat="1"><alignment horizontal="center" shrinkToFit="0" vertical="bottom" wrapText="0"/></xf><xf borderId="2" fillId="0" fontId="2" numFmtId="0" xfId="0" applyAlignment="1" applyBorder="1" applyFont="1"><alignment horizontal="center" shrinkToFit="0" vertical="bottom" wrapText="0"/></xf><xf borderId="2" fillId="0" fontId="2" numFmtId="0" xfId="0" applyAlignment="1" applyBorder="1" applyFont="1"><alignment horizontal="left" shrinkToFit="0" vertical="bottom" wrapText="0"/></xf><xf borderId="2" fillId="0" fontId="2" numFmtId="164" xfId="0" applyAlignment="1" applyBorder="1" applyFont="1" applyNumberFormat="1"><alignment horizontal="center" shrinkToFit="0" vertical="bottom" wrapText="0"/></xf><xf borderId="2" fillId="0" fontId="2" numFmtId="166" xfId="0" applyAlignment="1" applyBorder="1" applyFont="1" applyNumberFormat="1"><alignment horizontal="center" shrinkToFit="0" vertical="bottom" wrapText="0"/></xf><xf borderId="2" fillId="0" fontId="2" numFmtId="9" xfId="0" applyAlignment="1" applyBorder="1" applyFont="1" applyNumberFormat="1"><alignment horizontal="center" shrinkToFit="0" vertical="bottom" wrapText="0"/></xf><xf borderId="2" fillId="0" fontId="9" numFmtId="0" xfId="0" applyAlignment="1" applyBorder="1" applyFont="1"><alignment horizontal="left" shrinkToFit="0" vertical="center" wrapText="1"/></cellXfs><cellStyles count="1"><cellStyle xfId="0" name="Normal" builtinId="0"/></cellStyles><dxfs count="2"><dxf><font><b/><color rgb="FFFFFFFF"/></font><fill><patternFill patternType="solid"><bgColor rgb="FF00B050"/></patternFill></fill></dxf><dxf><font><b/><color rgb="FFFFFFFF"/></font><fill><patternFill patternType="solid"><bgColor rgb="FFFFC000"/></patternFill></fill></dxf></dxfs>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Row="3"/>
  <cols>
    <col customWidth="1" min="1" max="1" width="10.0"/>
    <col customWidth="1" min="2" max="2" width="6.0"/>
    <col customWidth="1" min="3" max="3" width="55.0"/>
    <col customWidth="1" min="4" max="4" width="14.0"/>
    <col customWidth="1" min="5" max="5" width="7.0"/>
    <col customWidth="1" min="6" max="6" width="6.0"/>
    <col customWidth="1" min="7" max="8" width="12.0"/>
    <col customWidth="1" min="9" max="9" width="10.0"/>
    <col customWidth="1" min="10" max="10" width="13.0"/>
    <col customWidth="1" min="11" max="11" width="11.0"/>
    <col customWidth="1" min="12" max="12" width="12.0"/>
    <col customWidth="1" min="13" max="13" width="30.0"/>
    <col customWidth="1" min="14" max="15" width="40.0"/>
    <col customWidth="1" min="16" max="26" width="8.71"/>
  </cols>
  <sheetData>
    <row r="1">
      <c r="A1" s="1" t="s">
        <v>0</v>
      </c>
    </row>
    <row r="2">
      <c r="A2" s="2" t="s">
        <v>1</v>
      </c>
      <c r="C2" s="3">
        <v>46302.0</v>
      </c>
    </row>
    <row r="3">
      <c r="A3" s="4" t="s">
        <v>2</v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inlineStr">
        <is>
          <t>Watch (YouTube search)</t>
        </is>
      </c>
      <c r="O5" s="5" t="inlineStr">
        <is>
          <t>Read (docs / article)</t>
        </is>
      </c>
    </row>
    <row r="6">
      <c r="A6" s="6" t="s">
        <v>16</v>
      </c>
      <c r="B6" s="7">
        <v>1.0</v>
      </c>
      <c r="C6" s="8" t="s">
        <v>17</v>
      </c>
      <c r="D6" s="7" t="s">
        <v>18</v>
      </c>
      <c r="E6" s="7"/>
      <c r="F6" s="7"/>
      <c r="G6" s="9">
        <f t="shared" ref="G6:G7" si="1">G7</f>
        <v>46302</v>
      </c>
      <c r="H6" s="9">
        <f>H146</f>
        <v>46350</v>
      </c>
      <c r="I6" s="10">
        <f>SUM(I7,I30,I49,I69,I89,I109,I127)</f>
        <v>227.7</v>
      </c>
      <c r="J6" s="7"/>
      <c r="K6" s="11">
        <f t="shared" ref="K6:K8" si="2">IF(I6=0,0,L6/I6)</f>
        <v>0.1569609135</v>
      </c>
      <c r="L6" s="12">
        <f>SUM(L7,L30,L49,L69,L89,L109,L127)</f>
        <v>35.74</v>
      </c>
      <c r="M6" s="13"/>
      <c r="N6" s="13"/>
      <c r="O6" s="13"/>
    </row>
    <row r="7" outlineLevel="1">
      <c r="A7" s="14" t="s">
        <v>19</v>
      </c>
      <c r="B7" s="15">
        <v>2.0</v>
      </c>
      <c r="C7" s="16" t="s">
        <v>20</v>
      </c>
      <c r="D7" s="15" t="s">
        <v>21</v>
      </c>
      <c r="E7" s="15">
        <v>1.0</v>
      </c>
      <c r="F7" s="15"/>
      <c r="G7" s="17">
        <f t="shared" si="1"/>
        <v>46302</v>
      </c>
      <c r="H7" s="17">
        <f>H8</f>
        <v>46302</v>
      </c>
      <c r="I7" s="18">
        <f>SUM(I8,I13,I17,I21,I25)</f>
        <v>32.49</v>
      </c>
      <c r="J7" s="15"/>
      <c r="K7" s="19">
        <f t="shared" si="2"/>
        <v>1</v>
      </c>
      <c r="L7" s="20">
        <f>SUM(L8,L13,L17,L21,L25)</f>
        <v>32.49</v>
      </c>
      <c r="M7" s="21"/>
      <c r="N7" s="21"/>
      <c r="O7" s="21"/>
    </row>
    <row r="8" outlineLevel="2">
      <c r="A8" s="22" t="s">
        <v>22</v>
      </c>
      <c r="B8" s="23">
        <v>3.0</v>
      </c>
      <c r="C8" s="24" t="s">
        <v>23</v>
      </c>
      <c r="D8" s="23" t="s">
        <v>24</v>
      </c>
      <c r="E8" s="23">
        <v>1.0</v>
      </c>
      <c r="F8" s="23">
        <v>1.0</v>
      </c>
      <c r="G8" s="25">
        <f>WORKDAY($C$2,F8-1)</f>
        <v>46302</v>
      </c>
      <c r="H8" s="25">
        <f>G8</f>
        <v>46302</v>
      </c>
      <c r="I8" s="26">
        <f>SUM(I9:I12)</f>
        <v>6.48</v>
      </c>
      <c r="J8" s="23" t="str">
        <f>IF(COUNTIF(J9:J12,"Done")+COUNTIF(J9:J12,"Cut")=4,"Done",IF(COUNTIF(J9:J12,"Not started")=4,"Not started","In progress"))</f>
        <v>Done</v>
      </c>
      <c r="K8" s="27">
        <f t="shared" si="2"/>
        <v>1</v>
      </c>
      <c r="L8" s="28">
        <f>SUM(L9:L12)</f>
        <v>6.48</v>
      </c>
      <c r="M8" s="29"/>
      <c r="N8" s="29"/>
      <c r="O8" s="29"/>
    </row>
    <row r="9" outlineLevel="3">
      <c r="A9" s="30" t="s">
        <v>25</v>
      </c>
      <c r="B9" s="30">
        <v>4.0</v>
      </c>
      <c r="C9" s="31" t="s">
        <v>26</v>
      </c>
      <c r="D9" s="30" t="s">
        <v>27</v>
      </c>
      <c r="E9" s="30">
        <v>1.0</v>
      </c>
      <c r="F9" s="30">
        <v>1.0</v>
      </c>
      <c r="G9" s="32">
        <f t="shared" ref="G9:H9" si="3">G8</f>
        <v>46302</v>
      </c>
      <c r="H9" s="32">
        <f t="shared" si="3"/>
        <v>46302</v>
      </c>
      <c r="I9" s="33">
        <v>1.62</v>
      </c>
      <c r="J9" s="34" t="s">
        <v>28</v>
      </c>
      <c r="K9" s="35">
        <f t="shared" ref="K9:K12" si="5">IF(J9="Done",1,IF(J9="In progress",0.5,0))</f>
        <v>1</v>
      </c>
      <c r="L9" s="36">
        <f t="shared" ref="L9:L12" si="6">I9*K9</f>
        <v>1.62</v>
      </c>
      <c r="M9" s="37"/>
      <c r="N9" s="51" t="str">
        <f>HYPERLINK("https://www.youtube.com/results?search_query=Laravel+13+new+features","YouTube: Laravel 13 new features")</f>
        <v>YouTube: Laravel 13 new features</v>
      </c>
      <c r="O9" s="51" t="str">
        <f>HYPERLINK("https://laravel.com/docs/releases","Laravel docs: Release notes")</f>
        <v>Laravel docs: Release notes</v>
      </c>
    </row>
    <row r="10" outlineLevel="3">
      <c r="A10" s="30" t="s">
        <v>29</v>
      </c>
      <c r="B10" s="30">
        <v>4.0</v>
      </c>
      <c r="C10" s="31" t="s">
        <v>30</v>
      </c>
      <c r="D10" s="30" t="s">
        <v>27</v>
      </c>
      <c r="E10" s="30">
        <v>1.0</v>
      </c>
      <c r="F10" s="30">
        <v>1.0</v>
      </c>
      <c r="G10" s="32">
        <f t="shared" ref="G10:H10" si="4">G8</f>
        <v>46302</v>
      </c>
      <c r="H10" s="32">
        <f t="shared" si="4"/>
        <v>46302</v>
      </c>
      <c r="I10" s="33">
        <v>1.62</v>
      </c>
      <c r="J10" s="34" t="s">
        <v>28</v>
      </c>
      <c r="K10" s="35">
        <f t="shared" si="5"/>
        <v>1</v>
      </c>
      <c r="L10" s="36">
        <f t="shared" si="6"/>
        <v>1.62</v>
      </c>
      <c r="M10" s="37"/>
      <c r="N10" s="51" t="str">
        <f>HYPERLINK("https://www.youtube.com/results?search_query=docker+compose+laravel+postgres+redis","YouTube: docker compose laravel postgres redis")</f>
        <v>YouTube: docker compose laravel postgres redis</v>
      </c>
      <c r="O10" s="51" t="str">
        <f>HYPERLINK("https://docs.docker.com/compose/","Docker docs: Compose")</f>
        <v>Docker docs: Compose</v>
      </c>
    </row>
    <row r="11" outlineLevel="3">
      <c r="A11" s="30" t="s">
        <v>31</v>
      </c>
      <c r="B11" s="30">
        <v>4.0</v>
      </c>
      <c r="C11" s="31" t="s">
        <v>32</v>
      </c>
      <c r="D11" s="30" t="s">
        <v>27</v>
      </c>
      <c r="E11" s="30">
        <v>1.0</v>
      </c>
      <c r="F11" s="30">
        <v>1.0</v>
      </c>
      <c r="G11" s="32">
        <f>G8</f>
        <v>46302</v>
      </c>
      <c r="H11" s="32">
        <f>H9</f>
        <v>46302</v>
      </c>
      <c r="I11" s="33">
        <v>1.62</v>
      </c>
      <c r="J11" s="34" t="s">
        <v>28</v>
      </c>
      <c r="K11" s="35">
        <f t="shared" si="5"/>
        <v>1</v>
      </c>
      <c r="L11" s="36">
        <f t="shared" si="6"/>
        <v>1.62</v>
      </c>
      <c r="M11" s="37"/>
      <c r="N11" s="51" t="str">
        <f>HYPERLINK("https://www.youtube.com/results?search_query=laravel+docker+setup+postgresql","YouTube: laravel docker setup postgresql")</f>
        <v>YouTube: laravel docker setup postgresql</v>
      </c>
      <c r="O11" s="51" t="str">
        <f>HYPERLINK("https://laravel.com/docs/installation","Laravel docs: Installation")</f>
        <v>Laravel docs: Installation</v>
      </c>
    </row>
    <row r="12" outlineLevel="3">
      <c r="A12" s="30" t="s">
        <v>33</v>
      </c>
      <c r="B12" s="30">
        <v>4.0</v>
      </c>
      <c r="C12" s="31" t="s">
        <v>34</v>
      </c>
      <c r="D12" s="30" t="s">
        <v>27</v>
      </c>
      <c r="E12" s="30">
        <v>1.0</v>
      </c>
      <c r="F12" s="30">
        <v>1.0</v>
      </c>
      <c r="G12" s="32">
        <f t="shared" ref="G12:H12" si="7">G8</f>
        <v>46302</v>
      </c>
      <c r="H12" s="32">
        <f t="shared" si="7"/>
        <v>46302</v>
      </c>
      <c r="I12" s="33">
        <v>1.62</v>
      </c>
      <c r="J12" s="34" t="s">
        <v>28</v>
      </c>
      <c r="K12" s="35">
        <f t="shared" si="5"/>
        <v>1</v>
      </c>
      <c r="L12" s="36">
        <f t="shared" si="6"/>
        <v>1.62</v>
      </c>
      <c r="M12" s="37"/>
      <c r="N12" s="51" t="str">
        <f>HYPERLINK("https://www.youtube.com/results?search_query=git+basics+tutorial","YouTube: git basics tutorial")</f>
        <v>YouTube: git basics tutorial</v>
      </c>
      <c r="O12" s="51" t="str">
        <f>HYPERLINK("https://git-scm.com/book/en/v2","Pro Git book")</f>
        <v>Pro Git book</v>
      </c>
    </row>
    <row r="13" outlineLevel="2">
      <c r="A13" s="22" t="s">
        <v>35</v>
      </c>
      <c r="B13" s="23">
        <v>3.0</v>
      </c>
      <c r="C13" s="24" t="s">
        <v>36</v>
      </c>
      <c r="D13" s="23" t="s">
        <v>24</v>
      </c>
      <c r="E13" s="23">
        <v>1.0</v>
      </c>
      <c r="F13" s="23">
        <v>2.0</v>
      </c>
      <c r="G13" s="25">
        <f>WORKDAY($C$2,F13-1)</f>
        <v>46303</v>
      </c>
      <c r="H13" s="25">
        <f>G13</f>
        <v>46303</v>
      </c>
      <c r="I13" s="26">
        <f>SUM(I14:I16)</f>
        <v>6.51</v>
      </c>
      <c r="J13" s="23" t="str">
        <f>IF(COUNTIF(J14:J16,"Done")+COUNTIF(J14:J16,"Cut")=3,"Done",IF(COUNTIF(J14:J16,"Not started")=3,"Not started","In progress"))</f>
        <v>Done</v>
      </c>
      <c r="K13" s="27">
        <f>IF(I13=0,0,L13/I13)</f>
        <v>1</v>
      </c>
      <c r="L13" s="28">
        <f>SUM(L14:L16)</f>
        <v>6.51</v>
      </c>
      <c r="M13" s="29"/>
      <c r="N13" s="29"/>
      <c r="O13" s="29"/>
    </row>
    <row r="14" outlineLevel="3">
      <c r="A14" s="30" t="s">
        <v>37</v>
      </c>
      <c r="B14" s="30">
        <v>4.0</v>
      </c>
      <c r="C14" s="31" t="s">
        <v>38</v>
      </c>
      <c r="D14" s="30" t="s">
        <v>27</v>
      </c>
      <c r="E14" s="30">
        <v>1.0</v>
      </c>
      <c r="F14" s="30">
        <v>2.0</v>
      </c>
      <c r="G14" s="32">
        <f t="shared" ref="G14:H14" si="8">G13</f>
        <v>46303</v>
      </c>
      <c r="H14" s="32">
        <f t="shared" si="8"/>
        <v>46303</v>
      </c>
      <c r="I14" s="33">
        <v>2.17</v>
      </c>
      <c r="J14" s="34" t="s">
        <v>28</v>
      </c>
      <c r="K14" s="35">
        <f t="shared" ref="K14:K16" si="10">IF(J14="Done",1,IF(J14="In progress",0.5,0))</f>
        <v>1</v>
      </c>
      <c r="L14" s="36">
        <f t="shared" ref="L14:L16" si="11">I14*K14</f>
        <v>2.17</v>
      </c>
      <c r="M14" s="37"/>
      <c r="N14" s="51" t="str">
        <f>HYPERLINK("https://www.youtube.com/results?search_query=database+design+entity+relationship+diagram","YouTube: database design entity relationship diagram")</f>
        <v>YouTube: database design entity relationship diagram</v>
      </c>
      <c r="O14" s="51" t="str">
        <f>HYPERLINK("https://mermaid.js.org/syntax/entityRelationshipDiagram.html","Mermaid: ER diagrams")</f>
        <v>Mermaid: ER diagrams</v>
      </c>
    </row>
    <row r="15" outlineLevel="3">
      <c r="A15" s="30" t="s">
        <v>39</v>
      </c>
      <c r="B15" s="30">
        <v>4.0</v>
      </c>
      <c r="C15" s="31" t="s">
        <v>40</v>
      </c>
      <c r="D15" s="30" t="s">
        <v>27</v>
      </c>
      <c r="E15" s="30">
        <v>1.0</v>
      </c>
      <c r="F15" s="30">
        <v>2.0</v>
      </c>
      <c r="G15" s="32">
        <f t="shared" ref="G15:H15" si="9">G13</f>
        <v>46303</v>
      </c>
      <c r="H15" s="32">
        <f t="shared" si="9"/>
        <v>46303</v>
      </c>
      <c r="I15" s="33">
        <v>2.17</v>
      </c>
      <c r="J15" s="34" t="s">
        <v>28</v>
      </c>
      <c r="K15" s="35">
        <f t="shared" si="10"/>
        <v>1</v>
      </c>
      <c r="L15" s="36">
        <f t="shared" si="11"/>
        <v>2.17</v>
      </c>
      <c r="M15" s="37"/>
      <c r="N15" s="51" t="str">
        <f>HYPERLINK("https://www.youtube.com/results?search_query=multi+tenancy+single+database+vs+database+per+tenant","YouTube: multi tenancy single database vs database per tenant")</f>
        <v>YouTube: multi tenancy single database vs database per tenant</v>
      </c>
      <c r="O15" s="51" t="str">
        <f>HYPERLINK("https://learn.microsoft.com/en-us/azure/architecture/guide/multitenant/considerations/tenancy-models","Azure: Tenancy models")</f>
        <v>Azure: Tenancy models</v>
      </c>
    </row>
    <row r="16" outlineLevel="3">
      <c r="A16" s="30" t="s">
        <v>41</v>
      </c>
      <c r="B16" s="30">
        <v>4.0</v>
      </c>
      <c r="C16" s="31" t="s">
        <v>42</v>
      </c>
      <c r="D16" s="30" t="s">
        <v>27</v>
      </c>
      <c r="E16" s="30">
        <v>1.0</v>
      </c>
      <c r="F16" s="30">
        <v>2.0</v>
      </c>
      <c r="G16" s="32">
        <f t="shared" ref="G16:H16" si="12">G13</f>
        <v>46303</v>
      </c>
      <c r="H16" s="32">
        <f t="shared" si="12"/>
        <v>46303</v>
      </c>
      <c r="I16" s="33">
        <v>2.17</v>
      </c>
      <c r="J16" s="34" t="s">
        <v>28</v>
      </c>
      <c r="K16" s="35">
        <f t="shared" si="10"/>
        <v>1</v>
      </c>
      <c r="L16" s="36">
        <f t="shared" si="11"/>
        <v>2.17</v>
      </c>
      <c r="M16" s="37"/>
      <c r="N16" s="51" t="str">
        <f>HYPERLINK("https://www.youtube.com/results?search_query=laravel+eloquent+relationships+factories","YouTube: laravel eloquent relationships factories")</f>
        <v>YouTube: laravel eloquent relationships factories</v>
      </c>
      <c r="O16" s="51" t="str">
        <f>HYPERLINK("https://laravel.com/docs/eloquent-relationships","Laravel docs: Relationships")</f>
        <v>Laravel docs: Relationships</v>
      </c>
    </row>
    <row r="17" outlineLevel="2">
      <c r="A17" s="22" t="s">
        <v>43</v>
      </c>
      <c r="B17" s="23">
        <v>3.0</v>
      </c>
      <c r="C17" s="24" t="s">
        <v>44</v>
      </c>
      <c r="D17" s="23" t="s">
        <v>24</v>
      </c>
      <c r="E17" s="23">
        <v>1.0</v>
      </c>
      <c r="F17" s="23">
        <v>3.0</v>
      </c>
      <c r="G17" s="25">
        <f>WORKDAY($C$2,F17-1)</f>
        <v>46304</v>
      </c>
      <c r="H17" s="25">
        <f>G17</f>
        <v>46304</v>
      </c>
      <c r="I17" s="26">
        <f>SUM(I18:I20)</f>
        <v>6.51</v>
      </c>
      <c r="J17" s="23" t="str">
        <f>IF(COUNTIF(J18:J20,"Done")+COUNTIF(J18:J20,"Cut")=3,"Done",IF(COUNTIF(J18:J20,"Not started")=3,"Not started","In progress"))</f>
        <v>Done</v>
      </c>
      <c r="K17" s="27">
        <f>IF(I17=0,0,L17/I17)</f>
        <v>1</v>
      </c>
      <c r="L17" s="28">
        <f>SUM(L18:L20)</f>
        <v>6.51</v>
      </c>
      <c r="M17" s="29"/>
      <c r="N17" s="29"/>
      <c r="O17" s="29"/>
    </row>
    <row r="18" outlineLevel="3">
      <c r="A18" s="30" t="s">
        <v>45</v>
      </c>
      <c r="B18" s="30">
        <v>4.0</v>
      </c>
      <c r="C18" s="31" t="s">
        <v>46</v>
      </c>
      <c r="D18" s="30" t="s">
        <v>27</v>
      </c>
      <c r="E18" s="30">
        <v>1.0</v>
      </c>
      <c r="F18" s="30">
        <v>3.0</v>
      </c>
      <c r="G18" s="32">
        <f t="shared" ref="G18:H18" si="13">G17</f>
        <v>46304</v>
      </c>
      <c r="H18" s="32">
        <f t="shared" si="13"/>
        <v>46304</v>
      </c>
      <c r="I18" s="33">
        <v>2.17</v>
      </c>
      <c r="J18" s="34" t="s">
        <v>28</v>
      </c>
      <c r="K18" s="35">
        <f t="shared" ref="K18:K20" si="15">IF(J18="Done",1,IF(J18="In progress",0.5,0))</f>
        <v>1</v>
      </c>
      <c r="L18" s="36">
        <f t="shared" ref="L18:L20" si="16">I18*K18</f>
        <v>2.17</v>
      </c>
      <c r="M18" s="37"/>
      <c r="N18" s="51" t="str">
        <f>HYPERLINK("https://www.youtube.com/results?search_query=laravel+react+starter+kit+inertia","YouTube: laravel react starter kit inertia")</f>
        <v>YouTube: laravel react starter kit inertia</v>
      </c>
      <c r="O18" s="51" t="str">
        <f>HYPERLINK("https://laravel.com/docs/starter-kits","Laravel docs: Starter kits")</f>
        <v>Laravel docs: Starter kits</v>
      </c>
    </row>
    <row r="19" outlineLevel="3">
      <c r="A19" s="30" t="s">
        <v>47</v>
      </c>
      <c r="B19" s="30">
        <v>4.0</v>
      </c>
      <c r="C19" s="31" t="s">
        <v>48</v>
      </c>
      <c r="D19" s="30" t="s">
        <v>27</v>
      </c>
      <c r="E19" s="30">
        <v>1.0</v>
      </c>
      <c r="F19" s="30">
        <v>3.0</v>
      </c>
      <c r="G19" s="32">
        <f t="shared" ref="G19:H19" si="14">G17</f>
        <v>46304</v>
      </c>
      <c r="H19" s="32">
        <f t="shared" si="14"/>
        <v>46304</v>
      </c>
      <c r="I19" s="33">
        <v>2.17</v>
      </c>
      <c r="J19" s="34" t="s">
        <v>28</v>
      </c>
      <c r="K19" s="35">
        <f t="shared" si="15"/>
        <v>1</v>
      </c>
      <c r="L19" s="36">
        <f t="shared" si="16"/>
        <v>2.17</v>
      </c>
      <c r="M19" s="37"/>
      <c r="N19" s="51" t="str">
        <f>HYPERLINK("https://www.youtube.com/results?search_query=laravel+policies+gates+authorization","YouTube: laravel policies gates authorization")</f>
        <v>YouTube: laravel policies gates authorization</v>
      </c>
      <c r="O19" s="51" t="str">
        <f>HYPERLINK("https://laravel.com/docs/authorization","Laravel docs: Authorization")</f>
        <v>Laravel docs: Authorization</v>
      </c>
    </row>
    <row r="20" outlineLevel="3">
      <c r="A20" s="30" t="s">
        <v>49</v>
      </c>
      <c r="B20" s="30">
        <v>4.0</v>
      </c>
      <c r="C20" s="31" t="s">
        <v>50</v>
      </c>
      <c r="D20" s="30" t="s">
        <v>27</v>
      </c>
      <c r="E20" s="30">
        <v>1.0</v>
      </c>
      <c r="F20" s="30">
        <v>3.0</v>
      </c>
      <c r="G20" s="32">
        <f t="shared" ref="G20:H20" si="17">G17</f>
        <v>46304</v>
      </c>
      <c r="H20" s="32">
        <f t="shared" si="17"/>
        <v>46304</v>
      </c>
      <c r="I20" s="33">
        <v>2.17</v>
      </c>
      <c r="J20" s="34" t="s">
        <v>28</v>
      </c>
      <c r="K20" s="35">
        <f t="shared" si="15"/>
        <v>1</v>
      </c>
      <c r="L20" s="36">
        <f t="shared" si="16"/>
        <v>2.17</v>
      </c>
      <c r="M20" s="37"/>
      <c r="N20" s="51" t="str">
        <f>HYPERLINK("https://www.youtube.com/results?search_query=laravel+multi+tenancy+global+scope+subdomain","YouTube: laravel multi tenancy global scope subdomain")</f>
        <v>YouTube: laravel multi tenancy global scope subdomain</v>
      </c>
      <c r="O20" s="51" t="str">
        <f>HYPERLINK("https://laravel.com/docs/eloquent#global-scopes","Laravel docs: Global scopes")</f>
        <v>Laravel docs: Global scopes</v>
      </c>
    </row>
    <row r="21" ht="15.75" customHeight="1" outlineLevel="2">
      <c r="A21" s="22" t="s">
        <v>51</v>
      </c>
      <c r="B21" s="23">
        <v>3.0</v>
      </c>
      <c r="C21" s="24" t="s">
        <v>52</v>
      </c>
      <c r="D21" s="23" t="s">
        <v>24</v>
      </c>
      <c r="E21" s="23">
        <v>1.0</v>
      </c>
      <c r="F21" s="23">
        <v>4.0</v>
      </c>
      <c r="G21" s="25">
        <f>WORKDAY($C$2,F21-1)</f>
        <v>46307</v>
      </c>
      <c r="H21" s="25">
        <f>G21</f>
        <v>46307</v>
      </c>
      <c r="I21" s="26">
        <f>SUM(I22:I24)</f>
        <v>6.51</v>
      </c>
      <c r="J21" s="23" t="str">
        <f>IF(COUNTIF(J22:J24,"Done")+COUNTIF(J22:J24,"Cut")=3,"Done",IF(COUNTIF(J22:J24,"Not started")=3,"Not started","In progress"))</f>
        <v>Done</v>
      </c>
      <c r="K21" s="27">
        <f>IF(I21=0,0,L21/I21)</f>
        <v>1</v>
      </c>
      <c r="L21" s="28">
        <f>SUM(L22:L24)</f>
        <v>6.51</v>
      </c>
      <c r="M21" s="29"/>
      <c r="N21" s="29"/>
      <c r="O21" s="29"/>
    </row>
    <row r="22" ht="15.75" customHeight="1" outlineLevel="3">
      <c r="A22" s="30" t="s">
        <v>53</v>
      </c>
      <c r="B22" s="30">
        <v>4.0</v>
      </c>
      <c r="C22" s="31" t="s">
        <v>54</v>
      </c>
      <c r="D22" s="30" t="s">
        <v>27</v>
      </c>
      <c r="E22" s="30">
        <v>1.0</v>
      </c>
      <c r="F22" s="30">
        <v>4.0</v>
      </c>
      <c r="G22" s="32">
        <f t="shared" ref="G22:H22" si="18">G21</f>
        <v>46307</v>
      </c>
      <c r="H22" s="32">
        <f t="shared" si="18"/>
        <v>46307</v>
      </c>
      <c r="I22" s="33">
        <v>2.17</v>
      </c>
      <c r="J22" s="34" t="s">
        <v>28</v>
      </c>
      <c r="K22" s="35">
        <f t="shared" ref="K22:K24" si="20">IF(J22="Done",1,IF(J22="In progress",0.5,0))</f>
        <v>1</v>
      </c>
      <c r="L22" s="36">
        <f t="shared" ref="L22:L24" si="21">I22*K22</f>
        <v>2.17</v>
      </c>
      <c r="M22" s="37"/>
      <c r="N22" s="51" t="str">
        <f>HYPERLINK("https://www.youtube.com/results?search_query=laravel+testing+tutorial","YouTube: laravel testing tutorial")</f>
        <v>YouTube: laravel testing tutorial</v>
      </c>
      <c r="O22" s="51" t="str">
        <f>HYPERLINK("https://laravel.com/docs/testing","Laravel docs: Testing")</f>
        <v>Laravel docs: Testing</v>
      </c>
    </row>
    <row r="23" ht="15.75" customHeight="1" outlineLevel="3">
      <c r="A23" s="30" t="s">
        <v>55</v>
      </c>
      <c r="B23" s="30">
        <v>4.0</v>
      </c>
      <c r="C23" s="31" t="s">
        <v>56</v>
      </c>
      <c r="D23" s="30" t="s">
        <v>27</v>
      </c>
      <c r="E23" s="30">
        <v>1.0</v>
      </c>
      <c r="F23" s="30">
        <v>4.0</v>
      </c>
      <c r="G23" s="32">
        <f t="shared" ref="G23:H23" si="19">G21</f>
        <v>46307</v>
      </c>
      <c r="H23" s="32">
        <f t="shared" si="19"/>
        <v>46307</v>
      </c>
      <c r="I23" s="33">
        <v>2.17</v>
      </c>
      <c r="J23" s="34" t="s">
        <v>28</v>
      </c>
      <c r="K23" s="35">
        <f t="shared" si="20"/>
        <v>1</v>
      </c>
      <c r="L23" s="36">
        <f t="shared" si="21"/>
        <v>2.17</v>
      </c>
      <c r="M23" s="37"/>
      <c r="N23" s="51" t="str">
        <f>HYPERLINK("https://www.youtube.com/results?search_query=laravel+multi+tenancy+testing+data+isolation","YouTube: laravel multi tenancy testing data isolation")</f>
        <v>YouTube: laravel multi tenancy testing data isolation</v>
      </c>
      <c r="O23" s="51" t="str">
        <f>HYPERLINK("https://laravel.com/docs/database-testing","Laravel docs: Database testing")</f>
        <v>Laravel docs: Database testing</v>
      </c>
    </row>
    <row r="24" ht="15.75" customHeight="1" outlineLevel="3">
      <c r="A24" s="30" t="s">
        <v>57</v>
      </c>
      <c r="B24" s="30">
        <v>4.0</v>
      </c>
      <c r="C24" s="31" t="s">
        <v>58</v>
      </c>
      <c r="D24" s="30" t="s">
        <v>27</v>
      </c>
      <c r="E24" s="30">
        <v>1.0</v>
      </c>
      <c r="F24" s="30">
        <v>4.0</v>
      </c>
      <c r="G24" s="32">
        <f t="shared" ref="G24:H24" si="22">G21</f>
        <v>46307</v>
      </c>
      <c r="H24" s="32">
        <f t="shared" si="22"/>
        <v>46307</v>
      </c>
      <c r="I24" s="33">
        <v>2.17</v>
      </c>
      <c r="J24" s="34" t="s">
        <v>28</v>
      </c>
      <c r="K24" s="35">
        <f t="shared" si="20"/>
        <v>1</v>
      </c>
      <c r="L24" s="36">
        <f t="shared" si="21"/>
        <v>2.17</v>
      </c>
      <c r="M24" s="37"/>
      <c r="N24" s="51" t="str">
        <f>HYPERLINK("https://www.youtube.com/results?search_query=laravel+testing+authorization+policies","YouTube: laravel testing authorization policies")</f>
        <v>YouTube: laravel testing authorization policies</v>
      </c>
      <c r="O24" s="51" t="str">
        <f>HYPERLINK("https://laravel.com/docs/http-tests","Laravel docs: HTTP tests")</f>
        <v>Laravel docs: HTTP tests</v>
      </c>
    </row>
    <row r="25" ht="15.75" customHeight="1" outlineLevel="2">
      <c r="A25" s="22" t="s">
        <v>59</v>
      </c>
      <c r="B25" s="23">
        <v>3.0</v>
      </c>
      <c r="C25" s="24" t="s">
        <v>60</v>
      </c>
      <c r="D25" s="23" t="s">
        <v>24</v>
      </c>
      <c r="E25" s="23">
        <v>1.0</v>
      </c>
      <c r="F25" s="23">
        <v>5.0</v>
      </c>
      <c r="G25" s="25">
        <f>WORKDAY($C$2,F25-1)</f>
        <v>46308</v>
      </c>
      <c r="H25" s="25">
        <f>G25</f>
        <v>46308</v>
      </c>
      <c r="I25" s="26">
        <f>SUM(I26:I29)</f>
        <v>6.48</v>
      </c>
      <c r="J25" s="23" t="str">
        <f>IF(COUNTIF(J26:J29,"Done")+COUNTIF(J26:J29,"Cut")=4,"Done",IF(COUNTIF(J26:J29,"Not started")=4,"Not started","In progress"))</f>
        <v>Done</v>
      </c>
      <c r="K25" s="27">
        <f>IF(I25=0,0,L25/I25)</f>
        <v>1</v>
      </c>
      <c r="L25" s="28">
        <f>SUM(L26:L29)</f>
        <v>6.48</v>
      </c>
      <c r="M25" s="29"/>
      <c r="N25" s="29"/>
      <c r="O25" s="29"/>
    </row>
    <row r="26" ht="15.75" customHeight="1" outlineLevel="3">
      <c r="A26" s="30" t="s">
        <v>61</v>
      </c>
      <c r="B26" s="30">
        <v>4.0</v>
      </c>
      <c r="C26" s="31" t="s">
        <v>62</v>
      </c>
      <c r="D26" s="30" t="s">
        <v>27</v>
      </c>
      <c r="E26" s="30">
        <v>1.0</v>
      </c>
      <c r="F26" s="30">
        <v>5.0</v>
      </c>
      <c r="G26" s="32">
        <f t="shared" ref="G26:H26" si="23">G25</f>
        <v>46308</v>
      </c>
      <c r="H26" s="32">
        <f t="shared" si="23"/>
        <v>46308</v>
      </c>
      <c r="I26" s="33">
        <v>1.62</v>
      </c>
      <c r="J26" s="34" t="s">
        <v>28</v>
      </c>
      <c r="K26" s="35">
        <f t="shared" ref="K26:K29" si="25">IF(J26="Done",1,IF(J26="In progress",0.5,0))</f>
        <v>1</v>
      </c>
      <c r="L26" s="36">
        <f t="shared" ref="L26:L29" si="26">I26*K26</f>
        <v>1.62</v>
      </c>
      <c r="M26" s="37"/>
      <c r="N26" s="51" t="str">
        <f>HYPERLINK("https://www.youtube.com/results?search_query=larastan+phpstan+laravel","YouTube: larastan phpstan laravel")</f>
        <v>YouTube: larastan phpstan laravel</v>
      </c>
      <c r="O26" s="51" t="str">
        <f>HYPERLINK("https://github.com/larastan/larastan","Larastan on GitHub")</f>
        <v>Larastan on GitHub</v>
      </c>
    </row>
    <row r="27" ht="15.75" customHeight="1" outlineLevel="3">
      <c r="A27" s="30" t="s">
        <v>63</v>
      </c>
      <c r="B27" s="30">
        <v>4.0</v>
      </c>
      <c r="C27" s="31" t="s">
        <v>64</v>
      </c>
      <c r="D27" s="30" t="s">
        <v>27</v>
      </c>
      <c r="E27" s="30">
        <v>1.0</v>
      </c>
      <c r="F27" s="30">
        <v>5.0</v>
      </c>
      <c r="G27" s="32">
        <f t="shared" ref="G27:H27" si="24">G25</f>
        <v>46308</v>
      </c>
      <c r="H27" s="32">
        <f t="shared" si="24"/>
        <v>46308</v>
      </c>
      <c r="I27" s="33">
        <v>1.62</v>
      </c>
      <c r="J27" s="34" t="s">
        <v>28</v>
      </c>
      <c r="K27" s="35">
        <f t="shared" si="25"/>
        <v>1</v>
      </c>
      <c r="L27" s="36">
        <f t="shared" si="26"/>
        <v>1.62</v>
      </c>
      <c r="M27" s="37"/>
      <c r="N27" s="51" t="str">
        <f>HYPERLINK("https://www.youtube.com/results?search_query=laravel+action+classes+pattern","YouTube: laravel action classes pattern")</f>
        <v>YouTube: laravel action classes pattern</v>
      </c>
      <c r="O27" s="51" t="str">
        <f>HYPERLINK("https://www.google.com/search?q=laravel+action+classes+pattern","Search: laravel action classes pattern")</f>
        <v>Search: laravel action classes pattern</v>
      </c>
    </row>
    <row r="28" ht="15.75" customHeight="1" outlineLevel="3">
      <c r="A28" s="30" t="s">
        <v>65</v>
      </c>
      <c r="B28" s="30">
        <v>4.0</v>
      </c>
      <c r="C28" s="31" t="s">
        <v>66</v>
      </c>
      <c r="D28" s="30" t="s">
        <v>27</v>
      </c>
      <c r="E28" s="30">
        <v>1.0</v>
      </c>
      <c r="F28" s="30">
        <v>5.0</v>
      </c>
      <c r="G28" s="32">
        <f t="shared" ref="G28:H28" si="27">G25</f>
        <v>46308</v>
      </c>
      <c r="H28" s="32">
        <f t="shared" si="27"/>
        <v>46308</v>
      </c>
      <c r="I28" s="33">
        <v>1.62</v>
      </c>
      <c r="J28" s="34" t="s">
        <v>28</v>
      </c>
      <c r="K28" s="35">
        <f t="shared" si="25"/>
        <v>1</v>
      </c>
      <c r="L28" s="36">
        <f t="shared" si="26"/>
        <v>1.62</v>
      </c>
      <c r="M28" s="37"/>
      <c r="N28" s="51" t="str">
        <f>HYPERLINK("https://www.youtube.com/results?search_query=laravel+seeders+factories","YouTube: laravel seeders factories")</f>
        <v>YouTube: laravel seeders factories</v>
      </c>
      <c r="O28" s="51" t="str">
        <f>HYPERLINK("https://laravel.com/docs/seeding","Laravel docs: Seeding")</f>
        <v>Laravel docs: Seeding</v>
      </c>
    </row>
    <row r="29" ht="15.75" customHeight="1" outlineLevel="3">
      <c r="A29" s="30" t="s">
        <v>67</v>
      </c>
      <c r="B29" s="30">
        <v>4.0</v>
      </c>
      <c r="C29" s="31" t="s">
        <v>68</v>
      </c>
      <c r="D29" s="30" t="s">
        <v>27</v>
      </c>
      <c r="E29" s="30">
        <v>1.0</v>
      </c>
      <c r="F29" s="30">
        <v>5.0</v>
      </c>
      <c r="G29" s="32">
        <f t="shared" ref="G29:H29" si="28">G25</f>
        <v>46308</v>
      </c>
      <c r="H29" s="32">
        <f t="shared" si="28"/>
        <v>46308</v>
      </c>
      <c r="I29" s="33">
        <v>1.62</v>
      </c>
      <c r="J29" s="34" t="s">
        <v>28</v>
      </c>
      <c r="K29" s="35">
        <f t="shared" si="25"/>
        <v>1</v>
      </c>
      <c r="L29" s="36">
        <f t="shared" si="26"/>
        <v>1.62</v>
      </c>
      <c r="M29" s="37"/>
      <c r="N29" s="51" t="str">
        <f>HYPERLINK("https://www.youtube.com/results?search_query=how+to+write+a+good+README+github","YouTube: how to write a good README github")</f>
        <v>YouTube: how to write a good README github</v>
      </c>
      <c r="O29" s="51" t="str">
        <f>HYPERLINK("https://www.makeareadme.com/","Make a README")</f>
        <v>Make a README</v>
      </c>
    </row>
    <row r="30" ht="15.75" customHeight="1" outlineLevel="1">
      <c r="A30" s="14" t="s">
        <v>69</v>
      </c>
      <c r="B30" s="15">
        <v>2.0</v>
      </c>
      <c r="C30" s="16" t="s">
        <v>70</v>
      </c>
      <c r="D30" s="15" t="s">
        <v>21</v>
      </c>
      <c r="E30" s="15">
        <v>2.0</v>
      </c>
      <c r="F30" s="15"/>
      <c r="G30" s="17">
        <f>G31</f>
        <v>46309</v>
      </c>
      <c r="H30" s="17">
        <f>H45</f>
        <v>46315</v>
      </c>
      <c r="I30" s="18">
        <f>SUM(I31,I34,I37,I41,I45)</f>
        <v>32.53</v>
      </c>
      <c r="J30" s="15"/>
      <c r="K30" s="19">
        <f t="shared" ref="K30:K31" si="29">IF(I30=0,0,L30/I30)</f>
        <v>0.09990777744</v>
      </c>
      <c r="L30" s="20">
        <f>SUM(L31,L34,L37,L41,L45)</f>
        <v>3.25</v>
      </c>
      <c r="M30" s="21"/>
      <c r="N30" s="21"/>
      <c r="O30" s="21"/>
    </row>
    <row r="31" ht="15.75" customHeight="1" outlineLevel="2">
      <c r="A31" s="22" t="s">
        <v>71</v>
      </c>
      <c r="B31" s="23">
        <v>3.0</v>
      </c>
      <c r="C31" s="24" t="s">
        <v>72</v>
      </c>
      <c r="D31" s="23" t="s">
        <v>24</v>
      </c>
      <c r="E31" s="23">
        <v>2.0</v>
      </c>
      <c r="F31" s="23">
        <v>6.0</v>
      </c>
      <c r="G31" s="25">
        <f>WORKDAY($C$2,F31-1)</f>
        <v>46309</v>
      </c>
      <c r="H31" s="25">
        <f>G31</f>
        <v>46309</v>
      </c>
      <c r="I31" s="26">
        <f>SUM(I32:I33)</f>
        <v>6.5</v>
      </c>
      <c r="J31" s="23" t="str">
        <f>IF(COUNTIF(J32:J33,"Done")+COUNTIF(J32:J33,"Cut")=2,"Done",IF(COUNTIF(J32:J33,"Not started")=2,"Not started","In progress"))</f>
        <v>In progress</v>
      </c>
      <c r="K31" s="27">
        <f t="shared" si="29"/>
        <v>0.5</v>
      </c>
      <c r="L31" s="28">
        <f>SUM(L32:L33)</f>
        <v>3.25</v>
      </c>
      <c r="M31" s="29"/>
      <c r="N31" s="29"/>
      <c r="O31" s="29"/>
    </row>
    <row r="32" ht="15.75" customHeight="1" outlineLevel="3">
      <c r="A32" s="30" t="s">
        <v>73</v>
      </c>
      <c r="B32" s="30">
        <v>4.0</v>
      </c>
      <c r="C32" s="31" t="s">
        <v>74</v>
      </c>
      <c r="D32" s="30" t="s">
        <v>27</v>
      </c>
      <c r="E32" s="30">
        <v>2.0</v>
      </c>
      <c r="F32" s="30">
        <v>6.0</v>
      </c>
      <c r="G32" s="32">
        <f t="shared" ref="G32:H32" si="30">G31</f>
        <v>46309</v>
      </c>
      <c r="H32" s="32">
        <f t="shared" si="30"/>
        <v>46309</v>
      </c>
      <c r="I32" s="33">
        <v>3.25</v>
      </c>
      <c r="J32" s="38" t="s">
        <v>75</v>
      </c>
      <c r="K32" s="35">
        <f t="shared" ref="K32:K33" si="32">IF(J32="Done",1,IF(J32="In progress",0.5,0))</f>
        <v>0</v>
      </c>
      <c r="L32" s="36">
        <f t="shared" ref="L32:L33" si="33">I32*K32</f>
        <v>0</v>
      </c>
      <c r="M32" s="37"/>
      <c r="N32" s="51" t="str">
        <f>HYPERLINK("https://www.youtube.com/results?search_query=typescript+tutorial+for+beginners","YouTube: typescript tutorial for beginners")</f>
        <v>YouTube: typescript tutorial for beginners</v>
      </c>
      <c r="O32" s="51" t="str">
        <f>HYPERLINK("https://www.typescriptlang.org/docs/handbook/intro.html","TypeScript Handbook")</f>
        <v>TypeScript Handbook</v>
      </c>
    </row>
    <row r="33" ht="15.75" customHeight="1" outlineLevel="3">
      <c r="A33" s="30" t="s">
        <v>76</v>
      </c>
      <c r="B33" s="30">
        <v>4.0</v>
      </c>
      <c r="C33" s="31" t="s">
        <v>77</v>
      </c>
      <c r="D33" s="30" t="s">
        <v>27</v>
      </c>
      <c r="E33" s="30">
        <v>2.0</v>
      </c>
      <c r="F33" s="30">
        <v>6.0</v>
      </c>
      <c r="G33" s="32">
        <f t="shared" ref="G33:H33" si="31">G31</f>
        <v>46309</v>
      </c>
      <c r="H33" s="32">
        <f t="shared" si="31"/>
        <v>46309</v>
      </c>
      <c r="I33" s="33">
        <v>3.25</v>
      </c>
      <c r="J33" s="34" t="s">
        <v>28</v>
      </c>
      <c r="K33" s="35">
        <f t="shared" si="32"/>
        <v>1</v>
      </c>
      <c r="L33" s="36">
        <f t="shared" si="33"/>
        <v>3.25</v>
      </c>
      <c r="M33" s="37"/>
      <c r="N33" s="51" t="str">
        <f>HYPERLINK("https://www.youtube.com/results?search_query=typescript+react+props+types","YouTube: typescript react props types")</f>
        <v>YouTube: typescript react props types</v>
      </c>
      <c r="O33" s="51" t="str">
        <f>HYPERLINK("https://react.dev/learn/typescript","React docs: Using TypeScript")</f>
        <v>React docs: Using TypeScript</v>
      </c>
    </row>
    <row r="34" ht="15.75" customHeight="1" outlineLevel="2">
      <c r="A34" s="22" t="s">
        <v>78</v>
      </c>
      <c r="B34" s="23">
        <v>3.0</v>
      </c>
      <c r="C34" s="24" t="s">
        <v>79</v>
      </c>
      <c r="D34" s="23" t="s">
        <v>24</v>
      </c>
      <c r="E34" s="23">
        <v>2.0</v>
      </c>
      <c r="F34" s="23">
        <v>7.0</v>
      </c>
      <c r="G34" s="25">
        <f>WORKDAY($C$2,F34-1)</f>
        <v>46310</v>
      </c>
      <c r="H34" s="25">
        <f>G34</f>
        <v>46310</v>
      </c>
      <c r="I34" s="26">
        <f>SUM(I35:I36)</f>
        <v>6.5</v>
      </c>
      <c r="J34" s="23" t="str">
        <f>IF(COUNTIF(J35:J36,"Done")+COUNTIF(J35:J36,"Cut")=2,"Done",IF(COUNTIF(J35:J36,"Not started")=2,"Not started","In progress"))</f>
        <v>Not started</v>
      </c>
      <c r="K34" s="27">
        <f>IF(I34=0,0,L34/I34)</f>
        <v>0</v>
      </c>
      <c r="L34" s="28">
        <f>SUM(L35:L36)</f>
        <v>0</v>
      </c>
      <c r="M34" s="29"/>
      <c r="N34" s="29"/>
      <c r="O34" s="29"/>
    </row>
    <row r="35" ht="15.75" customHeight="1" outlineLevel="3">
      <c r="A35" s="30" t="s">
        <v>80</v>
      </c>
      <c r="B35" s="30">
        <v>4.0</v>
      </c>
      <c r="C35" s="31" t="s">
        <v>81</v>
      </c>
      <c r="D35" s="30" t="s">
        <v>27</v>
      </c>
      <c r="E35" s="30">
        <v>2.0</v>
      </c>
      <c r="F35" s="30">
        <v>7.0</v>
      </c>
      <c r="G35" s="32">
        <f t="shared" ref="G35:H35" si="34">G34</f>
        <v>46310</v>
      </c>
      <c r="H35" s="32">
        <f t="shared" si="34"/>
        <v>46310</v>
      </c>
      <c r="I35" s="33">
        <v>3.25</v>
      </c>
      <c r="J35" s="38" t="s">
        <v>75</v>
      </c>
      <c r="K35" s="35">
        <f t="shared" ref="K35:K36" si="36">IF(J35="Done",1,IF(J35="In progress",0.5,0))</f>
        <v>0</v>
      </c>
      <c r="L35" s="36">
        <f t="shared" ref="L35:L36" si="37">I35*K35</f>
        <v>0</v>
      </c>
      <c r="M35" s="37"/>
      <c r="N35" s="51" t="str">
        <f>HYPERLINK("https://www.youtube.com/results?search_query=inertia.js+laravel+react+tutorial","YouTube: inertia.js laravel react tutorial")</f>
        <v>YouTube: inertia.js laravel react tutorial</v>
      </c>
      <c r="O35" s="51" t="str">
        <f>HYPERLINK("https://inertiajs.com/pages","Inertia docs: Pages")</f>
        <v>Inertia docs: Pages</v>
      </c>
    </row>
    <row r="36" ht="15.75" customHeight="1" outlineLevel="3">
      <c r="A36" s="30" t="s">
        <v>82</v>
      </c>
      <c r="B36" s="30">
        <v>4.0</v>
      </c>
      <c r="C36" s="31" t="s">
        <v>83</v>
      </c>
      <c r="D36" s="30" t="s">
        <v>27</v>
      </c>
      <c r="E36" s="30">
        <v>2.0</v>
      </c>
      <c r="F36" s="30">
        <v>7.0</v>
      </c>
      <c r="G36" s="32">
        <f t="shared" ref="G36:H36" si="35">G34</f>
        <v>46310</v>
      </c>
      <c r="H36" s="32">
        <f t="shared" si="35"/>
        <v>46310</v>
      </c>
      <c r="I36" s="33">
        <v>3.25</v>
      </c>
      <c r="J36" s="38" t="s">
        <v>28</v>
      </c>
      <c r="K36" s="35">
        <f t="shared" si="36"/>
        <v>0</v>
      </c>
      <c r="L36" s="36">
        <f t="shared" si="37"/>
        <v>0</v>
      </c>
      <c r="M36" s="37"/>
      <c r="N36" s="51" t="str">
        <f>HYPERLINK("https://www.youtube.com/results?search_query=laravel+inertia+pagination+filters+search","YouTube: laravel inertia pagination filters search")</f>
        <v>YouTube: laravel inertia pagination filters search</v>
      </c>
      <c r="O36" s="51" t="str">
        <f>HYPERLINK("https://laravel.com/docs/pagination","Laravel docs: Pagination")</f>
        <v>Laravel docs: Pagination</v>
      </c>
    </row>
    <row r="37" ht="15.75" customHeight="1" outlineLevel="2">
      <c r="A37" s="22" t="s">
        <v>84</v>
      </c>
      <c r="B37" s="23">
        <v>3.0</v>
      </c>
      <c r="C37" s="24" t="s">
        <v>85</v>
      </c>
      <c r="D37" s="23" t="s">
        <v>24</v>
      </c>
      <c r="E37" s="23">
        <v>2.0</v>
      </c>
      <c r="F37" s="23">
        <v>8.0</v>
      </c>
      <c r="G37" s="25">
        <f>WORKDAY($C$2,F37-1)</f>
        <v>46311</v>
      </c>
      <c r="H37" s="25">
        <f>G37</f>
        <v>46311</v>
      </c>
      <c r="I37" s="26">
        <f>SUM(I38:I40)</f>
        <v>6.51</v>
      </c>
      <c r="J37" s="23" t="str">
        <f>IF(COUNTIF(J38:J40,"Done")+COUNTIF(J38:J40,"Cut")=3,"Done",IF(COUNTIF(J38:J40,"Not started")=3,"Not started","In progress"))</f>
        <v>Not started</v>
      </c>
      <c r="K37" s="27">
        <f>IF(I37=0,0,L37/I37)</f>
        <v>0</v>
      </c>
      <c r="L37" s="28">
        <f>SUM(L38:L40)</f>
        <v>0</v>
      </c>
      <c r="M37" s="29"/>
      <c r="N37" s="29"/>
      <c r="O37" s="29"/>
    </row>
    <row r="38" ht="15.75" customHeight="1" outlineLevel="3">
      <c r="A38" s="30" t="s">
        <v>86</v>
      </c>
      <c r="B38" s="30">
        <v>4.0</v>
      </c>
      <c r="C38" s="31" t="s">
        <v>87</v>
      </c>
      <c r="D38" s="30" t="s">
        <v>27</v>
      </c>
      <c r="E38" s="30">
        <v>2.0</v>
      </c>
      <c r="F38" s="30">
        <v>8.0</v>
      </c>
      <c r="G38" s="32">
        <f t="shared" ref="G38:H38" si="38">G37</f>
        <v>46311</v>
      </c>
      <c r="H38" s="32">
        <f t="shared" si="38"/>
        <v>46311</v>
      </c>
      <c r="I38" s="33">
        <v>2.17</v>
      </c>
      <c r="J38" s="38" t="s">
        <v>28</v>
      </c>
      <c r="K38" s="35">
        <f t="shared" ref="K38:K40" si="40">IF(J38="Done",1,IF(J38="In progress",0.5,0))</f>
        <v>0</v>
      </c>
      <c r="L38" s="36">
        <f t="shared" ref="L38:L40" si="41">I38*K38</f>
        <v>0</v>
      </c>
      <c r="M38" s="37"/>
      <c r="N38" s="51" t="str">
        <f>HYPERLINK("https://www.youtube.com/results?search_query=inertia+useForm+validation+errors+react","YouTube: inertia useForm validation errors react")</f>
        <v>YouTube: inertia useForm validation errors react</v>
      </c>
      <c r="O38" s="51" t="str">
        <f>HYPERLINK("https://inertiajs.com/forms","Inertia docs: Forms")</f>
        <v>Inertia docs: Forms</v>
      </c>
    </row>
    <row r="39" ht="15.75" customHeight="1" outlineLevel="3">
      <c r="A39" s="30" t="s">
        <v>88</v>
      </c>
      <c r="B39" s="30">
        <v>4.0</v>
      </c>
      <c r="C39" s="31" t="s">
        <v>89</v>
      </c>
      <c r="D39" s="30" t="s">
        <v>27</v>
      </c>
      <c r="E39" s="30">
        <v>2.0</v>
      </c>
      <c r="F39" s="30">
        <v>8.0</v>
      </c>
      <c r="G39" s="32">
        <f t="shared" ref="G39:H39" si="39">G37</f>
        <v>46311</v>
      </c>
      <c r="H39" s="32">
        <f t="shared" si="39"/>
        <v>46311</v>
      </c>
      <c r="I39" s="33">
        <v>2.17</v>
      </c>
      <c r="J39" s="38" t="s">
        <v>28</v>
      </c>
      <c r="K39" s="35">
        <f t="shared" si="40"/>
        <v>0</v>
      </c>
      <c r="L39" s="36">
        <f t="shared" si="41"/>
        <v>0</v>
      </c>
      <c r="M39" s="37"/>
      <c r="N39" s="51" t="str">
        <f>HYPERLINK("https://www.youtube.com/results?search_query=laravel+inertia+react+crud","YouTube: laravel inertia react crud")</f>
        <v>YouTube: laravel inertia react crud</v>
      </c>
      <c r="O39" s="51" t="str">
        <f>HYPERLINK("https://laravel.com/docs/eloquent-relationships#eager-loading","Laravel docs: Eager loading")</f>
        <v>Laravel docs: Eager loading</v>
      </c>
    </row>
    <row r="40" ht="15.75" customHeight="1" outlineLevel="3">
      <c r="A40" s="30" t="s">
        <v>90</v>
      </c>
      <c r="B40" s="30">
        <v>4.0</v>
      </c>
      <c r="C40" s="31" t="s">
        <v>91</v>
      </c>
      <c r="D40" s="30" t="s">
        <v>27</v>
      </c>
      <c r="E40" s="30">
        <v>2.0</v>
      </c>
      <c r="F40" s="30">
        <v>8.0</v>
      </c>
      <c r="G40" s="32">
        <f t="shared" ref="G40:H40" si="42">G37</f>
        <v>46311</v>
      </c>
      <c r="H40" s="32">
        <f t="shared" si="42"/>
        <v>46311</v>
      </c>
      <c r="I40" s="33">
        <v>2.17</v>
      </c>
      <c r="J40" s="38" t="s">
        <v>75</v>
      </c>
      <c r="K40" s="35">
        <f t="shared" si="40"/>
        <v>0</v>
      </c>
      <c r="L40" s="36">
        <f t="shared" si="41"/>
        <v>0</v>
      </c>
      <c r="M40" s="37"/>
      <c r="N40" s="51" t="str">
        <f>HYPERLINK("https://www.youtube.com/results?search_query=laravel+file+upload+inertia+react","YouTube: laravel file upload inertia react")</f>
        <v>YouTube: laravel file upload inertia react</v>
      </c>
      <c r="O40" s="51" t="str">
        <f>HYPERLINK("https://laravel.com/docs/filesystem","Laravel docs: File storage")</f>
        <v>Laravel docs: File storage</v>
      </c>
    </row>
    <row r="41" ht="15.75" customHeight="1" outlineLevel="2">
      <c r="A41" s="22" t="s">
        <v>92</v>
      </c>
      <c r="B41" s="23">
        <v>3.0</v>
      </c>
      <c r="C41" s="24" t="s">
        <v>93</v>
      </c>
      <c r="D41" s="23" t="s">
        <v>24</v>
      </c>
      <c r="E41" s="23">
        <v>2.0</v>
      </c>
      <c r="F41" s="23">
        <v>9.0</v>
      </c>
      <c r="G41" s="25">
        <f>WORKDAY($C$2,F41-1)</f>
        <v>46314</v>
      </c>
      <c r="H41" s="25">
        <f>G41</f>
        <v>46314</v>
      </c>
      <c r="I41" s="26">
        <f>SUM(I42:I44)</f>
        <v>6.51</v>
      </c>
      <c r="J41" s="23" t="str">
        <f>IF(COUNTIF(J42:J44,"Done")+COUNTIF(J42:J44,"Cut")=3,"Done",IF(COUNTIF(J42:J44,"Not started")=3,"Not started","In progress"))</f>
        <v>Not started</v>
      </c>
      <c r="K41" s="27">
        <f>IF(I41=0,0,L41/I41)</f>
        <v>0</v>
      </c>
      <c r="L41" s="28">
        <f>SUM(L42:L44)</f>
        <v>0</v>
      </c>
      <c r="M41" s="29"/>
      <c r="N41" s="29"/>
      <c r="O41" s="29"/>
    </row>
    <row r="42" ht="15.75" customHeight="1" outlineLevel="3">
      <c r="A42" s="30" t="s">
        <v>94</v>
      </c>
      <c r="B42" s="30">
        <v>4.0</v>
      </c>
      <c r="C42" s="31" t="s">
        <v>95</v>
      </c>
      <c r="D42" s="30" t="s">
        <v>27</v>
      </c>
      <c r="E42" s="30">
        <v>2.0</v>
      </c>
      <c r="F42" s="30">
        <v>9.0</v>
      </c>
      <c r="G42" s="32">
        <f t="shared" ref="G42:H42" si="43">G41</f>
        <v>46314</v>
      </c>
      <c r="H42" s="32">
        <f t="shared" si="43"/>
        <v>46314</v>
      </c>
      <c r="I42" s="33">
        <v>2.17</v>
      </c>
      <c r="J42" s="38" t="s">
        <v>28</v>
      </c>
      <c r="K42" s="35">
        <f t="shared" ref="K42:K44" si="45">IF(J42="Done",1,IF(J42="In progress",0.5,0))</f>
        <v>0</v>
      </c>
      <c r="L42" s="36">
        <f t="shared" ref="L42:L44" si="46">I42*K42</f>
        <v>0</v>
      </c>
      <c r="M42" s="37"/>
      <c r="N42" s="51" t="str">
        <f>HYPERLINK("https://www.youtube.com/results?search_query=laravel+validation+rules+tutorial","YouTube: laravel validation rules tutorial")</f>
        <v>YouTube: laravel validation rules tutorial</v>
      </c>
      <c r="O42" s="51" t="str">
        <f>HYPERLINK("https://laravel.com/docs/validation","Laravel docs: Validation")</f>
        <v>Laravel docs: Validation</v>
      </c>
    </row>
    <row r="43" ht="15.75" customHeight="1" outlineLevel="3">
      <c r="A43" s="30" t="s">
        <v>96</v>
      </c>
      <c r="B43" s="30">
        <v>4.0</v>
      </c>
      <c r="C43" s="31" t="s">
        <v>97</v>
      </c>
      <c r="D43" s="30" t="s">
        <v>27</v>
      </c>
      <c r="E43" s="30">
        <v>2.0</v>
      </c>
      <c r="F43" s="30">
        <v>9.0</v>
      </c>
      <c r="G43" s="32">
        <f t="shared" ref="G43:H43" si="44">G41</f>
        <v>46314</v>
      </c>
      <c r="H43" s="32">
        <f t="shared" si="44"/>
        <v>46314</v>
      </c>
      <c r="I43" s="33">
        <v>2.17</v>
      </c>
      <c r="J43" s="38" t="s">
        <v>75</v>
      </c>
      <c r="K43" s="35">
        <f t="shared" si="45"/>
        <v>0</v>
      </c>
      <c r="L43" s="36">
        <f t="shared" si="46"/>
        <v>0</v>
      </c>
      <c r="M43" s="37"/>
      <c r="N43" s="51" t="str">
        <f>HYPERLINK("https://www.youtube.com/results?search_query=inertia+flash+messages+laravel","YouTube: inertia flash messages laravel")</f>
        <v>YouTube: inertia flash messages laravel</v>
      </c>
      <c r="O43" s="51" t="str">
        <f>HYPERLINK("https://inertiajs.com/shared-data","Inertia docs: Shared data")</f>
        <v>Inertia docs: Shared data</v>
      </c>
    </row>
    <row r="44" ht="15.75" customHeight="1" outlineLevel="3">
      <c r="A44" s="30" t="s">
        <v>98</v>
      </c>
      <c r="B44" s="30">
        <v>4.0</v>
      </c>
      <c r="C44" s="31" t="s">
        <v>99</v>
      </c>
      <c r="D44" s="30" t="s">
        <v>27</v>
      </c>
      <c r="E44" s="30">
        <v>2.0</v>
      </c>
      <c r="F44" s="30">
        <v>9.0</v>
      </c>
      <c r="G44" s="32">
        <f t="shared" ref="G44:H44" si="47">G41</f>
        <v>46314</v>
      </c>
      <c r="H44" s="32">
        <f t="shared" si="47"/>
        <v>46314</v>
      </c>
      <c r="I44" s="33">
        <v>2.17</v>
      </c>
      <c r="J44" s="38" t="s">
        <v>28</v>
      </c>
      <c r="K44" s="35">
        <f t="shared" si="45"/>
        <v>0</v>
      </c>
      <c r="L44" s="36">
        <f t="shared" si="46"/>
        <v>0</v>
      </c>
      <c r="M44" s="37"/>
      <c r="N44" s="51" t="str">
        <f>HYPERLINK("https://www.youtube.com/results?search_query=laravel+feature+tests","YouTube: laravel feature tests")</f>
        <v>YouTube: laravel feature tests</v>
      </c>
      <c r="O44" s="51" t="str">
        <f>HYPERLINK("https://laravel.com/docs/http-tests","Laravel docs: HTTP tests")</f>
        <v>Laravel docs: HTTP tests</v>
      </c>
    </row>
    <row r="45" ht="15.75" customHeight="1" outlineLevel="2">
      <c r="A45" s="22" t="s">
        <v>100</v>
      </c>
      <c r="B45" s="23">
        <v>3.0</v>
      </c>
      <c r="C45" s="24" t="s">
        <v>101</v>
      </c>
      <c r="D45" s="23" t="s">
        <v>24</v>
      </c>
      <c r="E45" s="23">
        <v>2.0</v>
      </c>
      <c r="F45" s="23">
        <v>10.0</v>
      </c>
      <c r="G45" s="25">
        <f>WORKDAY($C$2,F45-1)</f>
        <v>46315</v>
      </c>
      <c r="H45" s="25">
        <f>G45</f>
        <v>46315</v>
      </c>
      <c r="I45" s="26">
        <f>SUM(I46:I48)</f>
        <v>6.51</v>
      </c>
      <c r="J45" s="23" t="str">
        <f>IF(COUNTIF(J46:J48,"Done")+COUNTIF(J46:J48,"Cut")=3,"Done",IF(COUNTIF(J46:J48,"Not started")=3,"Not started","In progress"))</f>
        <v>Not started</v>
      </c>
      <c r="K45" s="27">
        <f>IF(I45=0,0,L45/I45)</f>
        <v>0</v>
      </c>
      <c r="L45" s="28">
        <f>SUM(L46:L48)</f>
        <v>0</v>
      </c>
      <c r="M45" s="29"/>
      <c r="N45" s="29"/>
      <c r="O45" s="29"/>
    </row>
    <row r="46" ht="15.75" customHeight="1" outlineLevel="3">
      <c r="A46" s="30" t="s">
        <v>102</v>
      </c>
      <c r="B46" s="30">
        <v>4.0</v>
      </c>
      <c r="C46" s="31" t="s">
        <v>103</v>
      </c>
      <c r="D46" s="30" t="s">
        <v>27</v>
      </c>
      <c r="E46" s="30">
        <v>2.0</v>
      </c>
      <c r="F46" s="30">
        <v>10.0</v>
      </c>
      <c r="G46" s="32">
        <f t="shared" ref="G46:H46" si="48">G45</f>
        <v>46315</v>
      </c>
      <c r="H46" s="32">
        <f t="shared" si="48"/>
        <v>46315</v>
      </c>
      <c r="I46" s="33">
        <v>2.17</v>
      </c>
      <c r="J46" s="38" t="s">
        <v>28</v>
      </c>
      <c r="K46" s="35">
        <f t="shared" ref="K46:K48" si="50">IF(J46="Done",1,IF(J46="In progress",0.5,0))</f>
        <v>0</v>
      </c>
      <c r="L46" s="36">
        <f t="shared" ref="L46:L48" si="51">I46*K46</f>
        <v>0</v>
      </c>
      <c r="M46" s="37"/>
      <c r="N46" s="51" t="str">
        <f>HYPERLINK("https://www.youtube.com/results?search_query=github+actions+laravel+ci","YouTube: github actions laravel ci")</f>
        <v>YouTube: github actions laravel ci</v>
      </c>
      <c r="O46" s="51" t="str">
        <f>HYPERLINK("https://docs.github.com/en/actions","GitHub Actions docs")</f>
        <v>GitHub Actions docs</v>
      </c>
    </row>
    <row r="47" ht="15.75" customHeight="1" outlineLevel="3">
      <c r="A47" s="30" t="s">
        <v>104</v>
      </c>
      <c r="B47" s="30">
        <v>4.0</v>
      </c>
      <c r="C47" s="31" t="s">
        <v>105</v>
      </c>
      <c r="D47" s="30" t="s">
        <v>27</v>
      </c>
      <c r="E47" s="30">
        <v>2.0</v>
      </c>
      <c r="F47" s="30">
        <v>10.0</v>
      </c>
      <c r="G47" s="32">
        <f t="shared" ref="G47:H47" si="49">G45</f>
        <v>46315</v>
      </c>
      <c r="H47" s="32">
        <f t="shared" si="49"/>
        <v>46315</v>
      </c>
      <c r="I47" s="33">
        <v>2.17</v>
      </c>
      <c r="J47" s="38" t="s">
        <v>28</v>
      </c>
      <c r="K47" s="35">
        <f t="shared" si="50"/>
        <v>0</v>
      </c>
      <c r="L47" s="36">
        <f t="shared" si="51"/>
        <v>0</v>
      </c>
      <c r="M47" s="37"/>
      <c r="N47" s="51" t="str">
        <f>HYPERLINK("https://www.youtube.com/results?search_query=github+actions+status+badge+readme","YouTube: github actions status badge readme")</f>
        <v>YouTube: github actions status badge readme</v>
      </c>
      <c r="O47" s="51" t="str">
        <f>HYPERLINK("https://www.google.com/search?q=github+actions+workflow+status+badge","Search: github actions workflow status badge")</f>
        <v>Search: github actions workflow status badge</v>
      </c>
    </row>
    <row r="48" ht="15.75" customHeight="1" outlineLevel="3">
      <c r="A48" s="30" t="s">
        <v>106</v>
      </c>
      <c r="B48" s="30">
        <v>4.0</v>
      </c>
      <c r="C48" s="31" t="s">
        <v>107</v>
      </c>
      <c r="D48" s="30" t="s">
        <v>27</v>
      </c>
      <c r="E48" s="30">
        <v>2.0</v>
      </c>
      <c r="F48" s="30">
        <v>10.0</v>
      </c>
      <c r="G48" s="32">
        <f t="shared" ref="G48:H48" si="52">G45</f>
        <v>46315</v>
      </c>
      <c r="H48" s="32">
        <f t="shared" si="52"/>
        <v>46315</v>
      </c>
      <c r="I48" s="33">
        <v>2.17</v>
      </c>
      <c r="J48" s="38" t="s">
        <v>75</v>
      </c>
      <c r="K48" s="35">
        <f t="shared" si="50"/>
        <v>0</v>
      </c>
      <c r="L48" s="36">
        <f t="shared" si="51"/>
        <v>0</v>
      </c>
      <c r="M48" s="37"/>
      <c r="N48" s="37"/>
      <c r="O48" s="37"/>
    </row>
    <row r="49" ht="15.75" customHeight="1" outlineLevel="1">
      <c r="A49" s="14" t="s">
        <v>108</v>
      </c>
      <c r="B49" s="15">
        <v>2.0</v>
      </c>
      <c r="C49" s="16" t="s">
        <v>109</v>
      </c>
      <c r="D49" s="15" t="s">
        <v>21</v>
      </c>
      <c r="E49" s="15">
        <v>3.0</v>
      </c>
      <c r="F49" s="15"/>
      <c r="G49" s="17">
        <f>G50</f>
        <v>46316</v>
      </c>
      <c r="H49" s="17">
        <f>H65</f>
        <v>46322</v>
      </c>
      <c r="I49" s="18">
        <f>SUM(I50,I54,I58,I61,I65)</f>
        <v>32.54</v>
      </c>
      <c r="J49" s="15"/>
      <c r="K49" s="19">
        <f t="shared" ref="K49:K50" si="53">IF(I49=0,0,L49/I49)</f>
        <v>0</v>
      </c>
      <c r="L49" s="20">
        <f>SUM(L50,L54,L58,L61,L65)</f>
        <v>0</v>
      </c>
      <c r="M49" s="21"/>
      <c r="N49" s="21"/>
      <c r="O49" s="21"/>
    </row>
    <row r="50" ht="15.75" customHeight="1" outlineLevel="2">
      <c r="A50" s="22" t="s">
        <v>110</v>
      </c>
      <c r="B50" s="23">
        <v>3.0</v>
      </c>
      <c r="C50" s="24" t="s">
        <v>111</v>
      </c>
      <c r="D50" s="23" t="s">
        <v>24</v>
      </c>
      <c r="E50" s="23">
        <v>3.0</v>
      </c>
      <c r="F50" s="23">
        <v>11.0</v>
      </c>
      <c r="G50" s="25">
        <f>WORKDAY($C$2,F50-1)</f>
        <v>46316</v>
      </c>
      <c r="H50" s="25">
        <f>G50</f>
        <v>46316</v>
      </c>
      <c r="I50" s="26">
        <f>SUM(I51:I53)</f>
        <v>6.51</v>
      </c>
      <c r="J50" s="23" t="str">
        <f>IF(COUNTIF(J51:J53,"Done")+COUNTIF(J51:J53,"Cut")=3,"Done",IF(COUNTIF(J51:J53,"Not started")=3,"Not started","In progress"))</f>
        <v>Not started</v>
      </c>
      <c r="K50" s="27">
        <f t="shared" si="53"/>
        <v>0</v>
      </c>
      <c r="L50" s="28">
        <f>SUM(L51:L53)</f>
        <v>0</v>
      </c>
      <c r="M50" s="29"/>
      <c r="N50" s="29"/>
      <c r="O50" s="29"/>
    </row>
    <row r="51" ht="15.75" customHeight="1" outlineLevel="3">
      <c r="A51" s="30" t="s">
        <v>112</v>
      </c>
      <c r="B51" s="30">
        <v>4.0</v>
      </c>
      <c r="C51" s="31" t="s">
        <v>113</v>
      </c>
      <c r="D51" s="30" t="s">
        <v>27</v>
      </c>
      <c r="E51" s="30">
        <v>3.0</v>
      </c>
      <c r="F51" s="30">
        <v>11.0</v>
      </c>
      <c r="G51" s="32">
        <f t="shared" ref="G51:H51" si="54">G50</f>
        <v>46316</v>
      </c>
      <c r="H51" s="32">
        <f t="shared" si="54"/>
        <v>46316</v>
      </c>
      <c r="I51" s="33">
        <v>2.17</v>
      </c>
      <c r="J51" s="38" t="s">
        <v>28</v>
      </c>
      <c r="K51" s="35">
        <f t="shared" ref="K51:K53" si="56">IF(J51="Done",1,IF(J51="In progress",0.5,0))</f>
        <v>0</v>
      </c>
      <c r="L51" s="36">
        <f t="shared" ref="L51:L53" si="57">I51*K51</f>
        <v>0</v>
      </c>
      <c r="M51" s="37"/>
      <c r="N51" s="51" t="str">
        <f>HYPERLINK("https://www.youtube.com/results?search_query=what+is+SLA+first+response+time+customer+support","YouTube: what is SLA first response time customer support")</f>
        <v>YouTube: what is SLA first response time customer support</v>
      </c>
      <c r="O51" s="51" t="str">
        <f>HYPERLINK("https://en.wikipedia.org/wiki/Service-level_agreement","Wikipedia: Service-level agreement")</f>
        <v>Wikipedia: Service-level agreement</v>
      </c>
    </row>
    <row r="52" ht="15.75" customHeight="1" outlineLevel="3">
      <c r="A52" s="30" t="s">
        <v>114</v>
      </c>
      <c r="B52" s="30">
        <v>4.0</v>
      </c>
      <c r="C52" s="31" t="s">
        <v>115</v>
      </c>
      <c r="D52" s="30" t="s">
        <v>27</v>
      </c>
      <c r="E52" s="30">
        <v>3.0</v>
      </c>
      <c r="F52" s="30">
        <v>11.0</v>
      </c>
      <c r="G52" s="32">
        <f t="shared" ref="G52:H52" si="55">G50</f>
        <v>46316</v>
      </c>
      <c r="H52" s="32">
        <f t="shared" si="55"/>
        <v>46316</v>
      </c>
      <c r="I52" s="33">
        <v>2.17</v>
      </c>
      <c r="J52" s="38" t="s">
        <v>75</v>
      </c>
      <c r="K52" s="35">
        <f t="shared" si="56"/>
        <v>0</v>
      </c>
      <c r="L52" s="36">
        <f t="shared" si="57"/>
        <v>0</v>
      </c>
      <c r="M52" s="37"/>
      <c r="N52" s="51" t="str">
        <f>HYPERLINK("https://www.youtube.com/results?search_query=laravel+events+listeners","YouTube: laravel events listeners")</f>
        <v>YouTube: laravel events listeners</v>
      </c>
      <c r="O52" s="51" t="str">
        <f>HYPERLINK("https://laravel.com/docs/events","Laravel docs: Events")</f>
        <v>Laravel docs: Events</v>
      </c>
    </row>
    <row r="53" ht="15.75" customHeight="1" outlineLevel="3">
      <c r="A53" s="30" t="s">
        <v>116</v>
      </c>
      <c r="B53" s="30">
        <v>4.0</v>
      </c>
      <c r="C53" s="31" t="s">
        <v>117</v>
      </c>
      <c r="D53" s="30" t="s">
        <v>27</v>
      </c>
      <c r="E53" s="30">
        <v>3.0</v>
      </c>
      <c r="F53" s="30">
        <v>11.0</v>
      </c>
      <c r="G53" s="32">
        <f t="shared" ref="G53:H53" si="58">G50</f>
        <v>46316</v>
      </c>
      <c r="H53" s="32">
        <f t="shared" si="58"/>
        <v>46316</v>
      </c>
      <c r="I53" s="33">
        <v>2.17</v>
      </c>
      <c r="J53" s="38" t="s">
        <v>28</v>
      </c>
      <c r="K53" s="35">
        <f t="shared" si="56"/>
        <v>0</v>
      </c>
      <c r="L53" s="36">
        <f t="shared" si="57"/>
        <v>0</v>
      </c>
      <c r="M53" s="37"/>
      <c r="N53" s="51" t="str">
        <f>HYPERLINK("https://www.youtube.com/results?search_query=laravel+carbon+dates+tutorial","YouTube: laravel carbon dates tutorial")</f>
        <v>YouTube: laravel carbon dates tutorial</v>
      </c>
      <c r="O53" s="51" t="str">
        <f>HYPERLINK("https://carbon.nesbot.com/docs/","Carbon docs")</f>
        <v>Carbon docs</v>
      </c>
    </row>
    <row r="54" ht="15.75" customHeight="1" outlineLevel="2">
      <c r="A54" s="22" t="s">
        <v>118</v>
      </c>
      <c r="B54" s="23">
        <v>3.0</v>
      </c>
      <c r="C54" s="24" t="s">
        <v>119</v>
      </c>
      <c r="D54" s="23" t="s">
        <v>24</v>
      </c>
      <c r="E54" s="23">
        <v>3.0</v>
      </c>
      <c r="F54" s="23">
        <v>12.0</v>
      </c>
      <c r="G54" s="25">
        <f>WORKDAY($C$2,F54-1)</f>
        <v>46317</v>
      </c>
      <c r="H54" s="25">
        <f>G54</f>
        <v>46317</v>
      </c>
      <c r="I54" s="26">
        <f>SUM(I55:I57)</f>
        <v>6.51</v>
      </c>
      <c r="J54" s="23" t="str">
        <f>IF(COUNTIF(J55:J57,"Done")+COUNTIF(J55:J57,"Cut")=3,"Done",IF(COUNTIF(J55:J57,"Not started")=3,"Not started","In progress"))</f>
        <v>Not started</v>
      </c>
      <c r="K54" s="27">
        <f>IF(I54=0,0,L54/I54)</f>
        <v>0</v>
      </c>
      <c r="L54" s="28">
        <f>SUM(L55:L57)</f>
        <v>0</v>
      </c>
      <c r="M54" s="29"/>
      <c r="N54" s="29"/>
      <c r="O54" s="29"/>
    </row>
    <row r="55" ht="15.75" customHeight="1" outlineLevel="3">
      <c r="A55" s="30" t="s">
        <v>120</v>
      </c>
      <c r="B55" s="30">
        <v>4.0</v>
      </c>
      <c r="C55" s="31" t="s">
        <v>121</v>
      </c>
      <c r="D55" s="30" t="s">
        <v>27</v>
      </c>
      <c r="E55" s="30">
        <v>3.0</v>
      </c>
      <c r="F55" s="30">
        <v>12.0</v>
      </c>
      <c r="G55" s="32">
        <f t="shared" ref="G55:H55" si="59">G54</f>
        <v>46317</v>
      </c>
      <c r="H55" s="32">
        <f t="shared" si="59"/>
        <v>46317</v>
      </c>
      <c r="I55" s="33">
        <v>2.17</v>
      </c>
      <c r="J55" s="38" t="inlineStr">
        <is>
          <t>In progress</t>
        </is>
      </c>
      <c r="K55" s="35">
        <f t="shared" ref="K55:K57" si="61">IF(J55="Done",1,IF(J55="In progress",0.5,0))</f>
        <v>0</v>
      </c>
      <c r="L55" s="36">
        <f t="shared" ref="L55:L57" si="62">I55*K55</f>
        <v>0</v>
      </c>
      <c r="M55" s="37"/>
      <c r="N55" s="51" t="str">
        <f>HYPERLINK("https://www.youtube.com/results?search_query=laravel+horizon+redis+queues","YouTube: laravel horizon redis queues")</f>
        <v>YouTube: laravel horizon redis queues</v>
      </c>
      <c r="O55" s="51" t="str">
        <f>HYPERLINK("https://laravel.com/docs/horizon","Laravel docs: Horizon")</f>
        <v>Laravel docs: Horizon</v>
      </c>
    </row>
    <row r="56" ht="15.75" customHeight="1" outlineLevel="3">
      <c r="A56" s="30" t="s">
        <v>122</v>
      </c>
      <c r="B56" s="30">
        <v>4.0</v>
      </c>
      <c r="C56" s="31" t="s">
        <v>123</v>
      </c>
      <c r="D56" s="30" t="s">
        <v>27</v>
      </c>
      <c r="E56" s="30">
        <v>3.0</v>
      </c>
      <c r="F56" s="30">
        <v>12.0</v>
      </c>
      <c r="G56" s="32">
        <f t="shared" ref="G56:H56" si="60">G54</f>
        <v>46317</v>
      </c>
      <c r="H56" s="32">
        <f t="shared" si="60"/>
        <v>46317</v>
      </c>
      <c r="I56" s="33">
        <v>2.17</v>
      </c>
      <c r="J56" s="38" t="s">
        <v>75</v>
      </c>
      <c r="K56" s="35">
        <f t="shared" si="61"/>
        <v>0</v>
      </c>
      <c r="L56" s="36">
        <f t="shared" si="62"/>
        <v>0</v>
      </c>
      <c r="M56" s="37"/>
      <c r="N56" s="51" t="str">
        <f>HYPERLINK("https://www.youtube.com/results?search_query=laravel+queued+event+listeners","YouTube: laravel queued event listeners")</f>
        <v>YouTube: laravel queued event listeners</v>
      </c>
      <c r="O56" s="51" t="str">
        <f>HYPERLINK("https://laravel.com/docs/events#queued-event-listeners","Laravel docs: Queued listeners")</f>
        <v>Laravel docs: Queued listeners</v>
      </c>
    </row>
    <row r="57" ht="15.75" customHeight="1" outlineLevel="3">
      <c r="A57" s="30" t="s">
        <v>124</v>
      </c>
      <c r="B57" s="30">
        <v>4.0</v>
      </c>
      <c r="C57" s="31" t="s">
        <v>125</v>
      </c>
      <c r="D57" s="30" t="s">
        <v>27</v>
      </c>
      <c r="E57" s="30">
        <v>3.0</v>
      </c>
      <c r="F57" s="30">
        <v>12.0</v>
      </c>
      <c r="G57" s="32">
        <f t="shared" ref="G57:H57" si="63">G54</f>
        <v>46317</v>
      </c>
      <c r="H57" s="32">
        <f t="shared" si="63"/>
        <v>46317</v>
      </c>
      <c r="I57" s="33">
        <v>2.17</v>
      </c>
      <c r="J57" s="38" t="s">
        <v>75</v>
      </c>
      <c r="K57" s="35">
        <f t="shared" si="61"/>
        <v>0</v>
      </c>
      <c r="L57" s="36">
        <f t="shared" si="62"/>
        <v>0</v>
      </c>
      <c r="M57" s="37"/>
      <c r="N57" s="51" t="str">
        <f>HYPERLINK("https://www.youtube.com/results?search_query=laravel+task+scheduling","YouTube: laravel task scheduling")</f>
        <v>YouTube: laravel task scheduling</v>
      </c>
      <c r="O57" s="51" t="str">
        <f>HYPERLINK("https://laravel.com/docs/scheduling","Laravel docs: Task scheduling")</f>
        <v>Laravel docs: Task scheduling</v>
      </c>
    </row>
    <row r="58" ht="15.75" customHeight="1" outlineLevel="2">
      <c r="A58" s="22" t="s">
        <v>126</v>
      </c>
      <c r="B58" s="23">
        <v>3.0</v>
      </c>
      <c r="C58" s="24" t="s">
        <v>127</v>
      </c>
      <c r="D58" s="23" t="s">
        <v>24</v>
      </c>
      <c r="E58" s="23">
        <v>3.0</v>
      </c>
      <c r="F58" s="23">
        <v>13.0</v>
      </c>
      <c r="G58" s="25">
        <f>WORKDAY($C$2,F58-1)</f>
        <v>46318</v>
      </c>
      <c r="H58" s="25">
        <f>G58</f>
        <v>46318</v>
      </c>
      <c r="I58" s="26">
        <f>SUM(I59:I60)</f>
        <v>6.5</v>
      </c>
      <c r="J58" s="23" t="str">
        <f>IF(COUNTIF(J59:J60,"Done")+COUNTIF(J59:J60,"Cut")=2,"Done",IF(COUNTIF(J59:J60,"Not started")=2,"Not started","In progress"))</f>
        <v>Not started</v>
      </c>
      <c r="K58" s="27">
        <f>IF(I58=0,0,L58/I58)</f>
        <v>0</v>
      </c>
      <c r="L58" s="28">
        <f>SUM(L59:L60)</f>
        <v>0</v>
      </c>
      <c r="M58" s="29"/>
      <c r="N58" s="29"/>
      <c r="O58" s="29"/>
    </row>
    <row r="59" ht="15.75" customHeight="1" outlineLevel="3">
      <c r="A59" s="30" t="s">
        <v>128</v>
      </c>
      <c r="B59" s="30">
        <v>4.0</v>
      </c>
      <c r="C59" s="31" t="s">
        <v>129</v>
      </c>
      <c r="D59" s="30" t="s">
        <v>27</v>
      </c>
      <c r="E59" s="30">
        <v>3.0</v>
      </c>
      <c r="F59" s="30">
        <v>13.0</v>
      </c>
      <c r="G59" s="32">
        <f t="shared" ref="G59:H59" si="64">G58</f>
        <v>46318</v>
      </c>
      <c r="H59" s="32">
        <f t="shared" si="64"/>
        <v>46318</v>
      </c>
      <c r="I59" s="33">
        <v>3.25</v>
      </c>
      <c r="J59" s="38" t="inlineStr">
        <is>
          <t>In progress</t>
        </is>
      </c>
      <c r="K59" s="35">
        <f t="shared" ref="K59:K60" si="66">IF(J59="Done",1,IF(J59="In progress",0.5,0))</f>
        <v>0</v>
      </c>
      <c r="L59" s="36">
        <f t="shared" ref="L59:L60" si="67">I59*K59</f>
        <v>0</v>
      </c>
      <c r="M59" s="37"/>
      <c r="N59" s="51" t="str">
        <f>HYPERLINK("https://www.youtube.com/results?search_query=laravel+notifications+mail+database","YouTube: laravel notifications mail database")</f>
        <v>YouTube: laravel notifications mail database</v>
      </c>
      <c r="O59" s="51" t="str">
        <f>HYPERLINK("https://laravel.com/docs/notifications","Laravel docs: Notifications")</f>
        <v>Laravel docs: Notifications</v>
      </c>
    </row>
    <row r="60" ht="15.75" customHeight="1" outlineLevel="3">
      <c r="A60" s="30" t="s">
        <v>130</v>
      </c>
      <c r="B60" s="30">
        <v>4.0</v>
      </c>
      <c r="C60" s="31" t="s">
        <v>131</v>
      </c>
      <c r="D60" s="30" t="s">
        <v>27</v>
      </c>
      <c r="E60" s="30">
        <v>3.0</v>
      </c>
      <c r="F60" s="30">
        <v>13.0</v>
      </c>
      <c r="G60" s="32">
        <f t="shared" ref="G60:H60" si="65">G58</f>
        <v>46318</v>
      </c>
      <c r="H60" s="32">
        <f t="shared" si="65"/>
        <v>46318</v>
      </c>
      <c r="I60" s="33">
        <v>3.25</v>
      </c>
      <c r="J60" s="38" t="s">
        <v>75</v>
      </c>
      <c r="K60" s="35">
        <f t="shared" si="66"/>
        <v>0</v>
      </c>
      <c r="L60" s="36">
        <f t="shared" si="67"/>
        <v>0</v>
      </c>
      <c r="M60" s="37"/>
      <c r="N60" s="51" t="str">
        <f>HYPERLINK("https://www.youtube.com/results?search_query=laravel+notification+bell+inertia+react","YouTube: laravel notification bell inertia react")</f>
        <v>YouTube: laravel notification bell inertia react</v>
      </c>
      <c r="O60" s="51" t="str">
        <f>HYPERLINK("https://laravel.com/docs/notifications#database-notifications","Laravel docs: Database notifications")</f>
        <v>Laravel docs: Database notifications</v>
      </c>
    </row>
    <row r="61" ht="15.75" customHeight="1" outlineLevel="2">
      <c r="A61" s="22" t="s">
        <v>132</v>
      </c>
      <c r="B61" s="23">
        <v>3.0</v>
      </c>
      <c r="C61" s="24" t="s">
        <v>133</v>
      </c>
      <c r="D61" s="23" t="s">
        <v>24</v>
      </c>
      <c r="E61" s="23">
        <v>3.0</v>
      </c>
      <c r="F61" s="23">
        <v>14.0</v>
      </c>
      <c r="G61" s="25">
        <f>WORKDAY($C$2,F61-1)</f>
        <v>46321</v>
      </c>
      <c r="H61" s="25">
        <f>G61</f>
        <v>46321</v>
      </c>
      <c r="I61" s="26">
        <f>SUM(I62:I64)</f>
        <v>6.51</v>
      </c>
      <c r="J61" s="23" t="str">
        <f>IF(COUNTIF(J62:J64,"Done")+COUNTIF(J62:J64,"Cut")=3,"Done",IF(COUNTIF(J62:J64,"Not started")=3,"Not started","In progress"))</f>
        <v>Not started</v>
      </c>
      <c r="K61" s="27">
        <f>IF(I61=0,0,L61/I61)</f>
        <v>0</v>
      </c>
      <c r="L61" s="28">
        <f>SUM(L62:L64)</f>
        <v>0</v>
      </c>
      <c r="M61" s="29"/>
      <c r="N61" s="29"/>
      <c r="O61" s="29"/>
    </row>
    <row r="62" ht="15.75" customHeight="1" outlineLevel="3">
      <c r="A62" s="30" t="s">
        <v>134</v>
      </c>
      <c r="B62" s="30">
        <v>4.0</v>
      </c>
      <c r="C62" s="31" t="s">
        <v>135</v>
      </c>
      <c r="D62" s="30" t="s">
        <v>27</v>
      </c>
      <c r="E62" s="30">
        <v>3.0</v>
      </c>
      <c r="F62" s="30">
        <v>14.0</v>
      </c>
      <c r="G62" s="32">
        <f t="shared" ref="G62:H62" si="68">G61</f>
        <v>46321</v>
      </c>
      <c r="H62" s="32">
        <f t="shared" si="68"/>
        <v>46321</v>
      </c>
      <c r="I62" s="33">
        <v>2.17</v>
      </c>
      <c r="J62" s="38" t="s">
        <v>75</v>
      </c>
      <c r="K62" s="35">
        <f t="shared" ref="K62:K64" si="70">IF(J62="Done",1,IF(J62="In progress",0.5,0))</f>
        <v>0</v>
      </c>
      <c r="L62" s="36">
        <f t="shared" ref="L62:L64" si="71">I62*K62</f>
        <v>0</v>
      </c>
      <c r="M62" s="37"/>
      <c r="N62" s="51" t="str">
        <f>HYPERLINK("https://www.youtube.com/results?search_query=laravel+sanctum+api+tokens","YouTube: laravel sanctum api tokens")</f>
        <v>YouTube: laravel sanctum api tokens</v>
      </c>
      <c r="O62" s="51" t="str">
        <f>HYPERLINK("https://laravel.com/docs/sanctum","Laravel docs: Sanctum")</f>
        <v>Laravel docs: Sanctum</v>
      </c>
    </row>
    <row r="63" ht="15.75" customHeight="1" outlineLevel="3">
      <c r="A63" s="30" t="s">
        <v>136</v>
      </c>
      <c r="B63" s="30">
        <v>4.0</v>
      </c>
      <c r="C63" s="31" t="s">
        <v>137</v>
      </c>
      <c r="D63" s="30" t="s">
        <v>27</v>
      </c>
      <c r="E63" s="30">
        <v>3.0</v>
      </c>
      <c r="F63" s="30">
        <v>14.0</v>
      </c>
      <c r="G63" s="32">
        <f t="shared" ref="G63:H63" si="69">G61</f>
        <v>46321</v>
      </c>
      <c r="H63" s="32">
        <f t="shared" si="69"/>
        <v>46321</v>
      </c>
      <c r="I63" s="33">
        <v>2.17</v>
      </c>
      <c r="J63" s="38" t="s">
        <v>75</v>
      </c>
      <c r="K63" s="35">
        <f t="shared" si="70"/>
        <v>0</v>
      </c>
      <c r="L63" s="36">
        <f t="shared" si="71"/>
        <v>0</v>
      </c>
      <c r="M63" s="37"/>
      <c r="N63" s="51" t="str">
        <f>HYPERLINK("https://www.youtube.com/results?search_query=laravel+api+resources+rate+limiting","YouTube: laravel api resources rate limiting")</f>
        <v>YouTube: laravel api resources rate limiting</v>
      </c>
      <c r="O63" s="51" t="str">
        <f>HYPERLINK("https://laravel.com/docs/eloquent-resources","Laravel docs: API resources")</f>
        <v>Laravel docs: API resources</v>
      </c>
    </row>
    <row r="64" ht="15.75" customHeight="1" outlineLevel="3">
      <c r="A64" s="30" t="s">
        <v>138</v>
      </c>
      <c r="B64" s="30">
        <v>4.0</v>
      </c>
      <c r="C64" s="31" t="s">
        <v>139</v>
      </c>
      <c r="D64" s="30" t="s">
        <v>27</v>
      </c>
      <c r="E64" s="30">
        <v>3.0</v>
      </c>
      <c r="F64" s="30">
        <v>14.0</v>
      </c>
      <c r="G64" s="32">
        <f t="shared" ref="G64:H64" si="72">G61</f>
        <v>46321</v>
      </c>
      <c r="H64" s="32">
        <f t="shared" si="72"/>
        <v>46321</v>
      </c>
      <c r="I64" s="33">
        <v>2.17</v>
      </c>
      <c r="J64" s="38" t="s">
        <v>75</v>
      </c>
      <c r="K64" s="35">
        <f t="shared" si="70"/>
        <v>0</v>
      </c>
      <c r="L64" s="36">
        <f t="shared" si="71"/>
        <v>0</v>
      </c>
      <c r="M64" s="37"/>
      <c r="N64" s="51" t="str">
        <f>HYPERLINK("https://www.youtube.com/results?search_query=laravel+scribe+api+documentation","YouTube: laravel scribe api documentation")</f>
        <v>YouTube: laravel scribe api documentation</v>
      </c>
      <c r="O64" s="51" t="str">
        <f>HYPERLINK("https://scribe.knuckles.wtf/laravel/","Scribe docs")</f>
        <v>Scribe docs</v>
      </c>
    </row>
    <row r="65" ht="15.75" customHeight="1" outlineLevel="2">
      <c r="A65" s="22" t="s">
        <v>140</v>
      </c>
      <c r="B65" s="23">
        <v>3.0</v>
      </c>
      <c r="C65" s="24" t="s">
        <v>141</v>
      </c>
      <c r="D65" s="23" t="s">
        <v>24</v>
      </c>
      <c r="E65" s="23">
        <v>3.0</v>
      </c>
      <c r="F65" s="23">
        <v>15.0</v>
      </c>
      <c r="G65" s="25">
        <f>WORKDAY($C$2,F65-1)</f>
        <v>46322</v>
      </c>
      <c r="H65" s="25">
        <f>G65</f>
        <v>46322</v>
      </c>
      <c r="I65" s="26">
        <f>SUM(I66:I68)</f>
        <v>6.51</v>
      </c>
      <c r="J65" s="23" t="str">
        <f>IF(COUNTIF(J66:J68,"Done")+COUNTIF(J66:J68,"Cut")=3,"Done",IF(COUNTIF(J66:J68,"Not started")=3,"Not started","In progress"))</f>
        <v>Not started</v>
      </c>
      <c r="K65" s="27">
        <f>IF(I65=0,0,L65/I65)</f>
        <v>0</v>
      </c>
      <c r="L65" s="28">
        <f>SUM(L66:L68)</f>
        <v>0</v>
      </c>
      <c r="M65" s="29"/>
      <c r="N65" s="29"/>
      <c r="O65" s="29"/>
    </row>
    <row r="66" ht="15.75" customHeight="1" outlineLevel="3">
      <c r="A66" s="30" t="s">
        <v>142</v>
      </c>
      <c r="B66" s="30">
        <v>4.0</v>
      </c>
      <c r="C66" s="31" t="s">
        <v>143</v>
      </c>
      <c r="D66" s="30" t="s">
        <v>27</v>
      </c>
      <c r="E66" s="30">
        <v>3.0</v>
      </c>
      <c r="F66" s="30">
        <v>15.0</v>
      </c>
      <c r="G66" s="32">
        <f t="shared" ref="G66:H66" si="73">G65</f>
        <v>46322</v>
      </c>
      <c r="H66" s="32">
        <f t="shared" si="73"/>
        <v>46322</v>
      </c>
      <c r="I66" s="33">
        <v>2.17</v>
      </c>
      <c r="J66" s="38" t="inlineStr">
        <is>
          <t>In progress</t>
        </is>
      </c>
      <c r="K66" s="35">
        <f t="shared" ref="K66:K68" si="75">IF(J66="Done",1,IF(J66="In progress",0.5,0))</f>
        <v>0</v>
      </c>
      <c r="L66" s="36">
        <f t="shared" ref="L66:L68" si="76">I66*K66</f>
        <v>0</v>
      </c>
      <c r="M66" s="37"/>
      <c r="N66" s="51" t="str">
        <f>HYPERLINK("https://www.youtube.com/results?search_query=laravel+queue+fake+notification+fake+testing","YouTube: laravel queue fake notification fake testing")</f>
        <v>YouTube: laravel queue fake notification fake testing</v>
      </c>
      <c r="O66" s="51" t="str">
        <f>HYPERLINK("https://laravel.com/docs/mocking","Laravel docs: Mocking and fakes")</f>
        <v>Laravel docs: Mocking and fakes</v>
      </c>
    </row>
    <row r="67" ht="15.75" customHeight="1" outlineLevel="3">
      <c r="A67" s="30" t="s">
        <v>144</v>
      </c>
      <c r="B67" s="30">
        <v>4.0</v>
      </c>
      <c r="C67" s="31" t="s">
        <v>145</v>
      </c>
      <c r="D67" s="30" t="s">
        <v>27</v>
      </c>
      <c r="E67" s="30">
        <v>3.0</v>
      </c>
      <c r="F67" s="30">
        <v>15.0</v>
      </c>
      <c r="G67" s="32">
        <f t="shared" ref="G67:H67" si="74">G65</f>
        <v>46322</v>
      </c>
      <c r="H67" s="32">
        <f t="shared" si="74"/>
        <v>46322</v>
      </c>
      <c r="I67" s="33">
        <v>2.17</v>
      </c>
      <c r="J67" s="38" t="s">
        <v>75</v>
      </c>
      <c r="K67" s="35">
        <f t="shared" si="75"/>
        <v>0</v>
      </c>
      <c r="L67" s="36">
        <f t="shared" si="76"/>
        <v>0</v>
      </c>
      <c r="M67" s="37"/>
      <c r="N67" s="51" t="str">
        <f>HYPERLINK("https://www.youtube.com/results?search_query=laravel+api+testing+sanctum","YouTube: laravel api testing sanctum")</f>
        <v>YouTube: laravel api testing sanctum</v>
      </c>
      <c r="O67" s="51" t="str">
        <f>HYPERLINK("https://laravel.com/docs/sanctum#testing","Laravel docs: Sanctum testing")</f>
        <v>Laravel docs: Sanctum testing</v>
      </c>
    </row>
    <row r="68" ht="15.75" customHeight="1" outlineLevel="3">
      <c r="A68" s="30" t="s">
        <v>146</v>
      </c>
      <c r="B68" s="30">
        <v>4.0</v>
      </c>
      <c r="C68" s="31" t="s">
        <v>147</v>
      </c>
      <c r="D68" s="30" t="s">
        <v>27</v>
      </c>
      <c r="E68" s="30">
        <v>3.0</v>
      </c>
      <c r="F68" s="30">
        <v>15.0</v>
      </c>
      <c r="G68" s="32">
        <f t="shared" ref="G68:H68" si="77">G65</f>
        <v>46322</v>
      </c>
      <c r="H68" s="32">
        <f t="shared" si="77"/>
        <v>46322</v>
      </c>
      <c r="I68" s="33">
        <v>2.17</v>
      </c>
      <c r="J68" s="38" t="s">
        <v>75</v>
      </c>
      <c r="K68" s="35">
        <f t="shared" si="75"/>
        <v>0</v>
      </c>
      <c r="L68" s="36">
        <f t="shared" si="76"/>
        <v>0</v>
      </c>
      <c r="M68" s="37"/>
      <c r="N68" s="37"/>
      <c r="O68" s="37"/>
    </row>
    <row r="69" ht="15.75" customHeight="1" outlineLevel="1">
      <c r="A69" s="14" t="s">
        <v>148</v>
      </c>
      <c r="B69" s="15">
        <v>2.0</v>
      </c>
      <c r="C69" s="16" t="s">
        <v>149</v>
      </c>
      <c r="D69" s="15" t="s">
        <v>21</v>
      </c>
      <c r="E69" s="15">
        <v>4.0</v>
      </c>
      <c r="F69" s="15"/>
      <c r="G69" s="17">
        <f>G70</f>
        <v>46323</v>
      </c>
      <c r="H69" s="17">
        <f>H85</f>
        <v>46329</v>
      </c>
      <c r="I69" s="18">
        <f>SUM(I70,I74,I77,I81,I85)</f>
        <v>32.54</v>
      </c>
      <c r="J69" s="15"/>
      <c r="K69" s="19">
        <f t="shared" ref="K69:K70" si="78">IF(I69=0,0,L69/I69)</f>
        <v>0</v>
      </c>
      <c r="L69" s="20">
        <f>SUM(L70,L74,L77,L81,L85)</f>
        <v>0</v>
      </c>
      <c r="M69" s="21"/>
      <c r="N69" s="21"/>
      <c r="O69" s="21"/>
    </row>
    <row r="70" ht="15.75" customHeight="1" outlineLevel="2">
      <c r="A70" s="22" t="s">
        <v>150</v>
      </c>
      <c r="B70" s="23">
        <v>3.0</v>
      </c>
      <c r="C70" s="24" t="s">
        <v>151</v>
      </c>
      <c r="D70" s="23" t="s">
        <v>24</v>
      </c>
      <c r="E70" s="23">
        <v>4.0</v>
      </c>
      <c r="F70" s="23">
        <v>16.0</v>
      </c>
      <c r="G70" s="25">
        <f>WORKDAY($C$2,F70-1)</f>
        <v>46323</v>
      </c>
      <c r="H70" s="25">
        <f>G70</f>
        <v>46323</v>
      </c>
      <c r="I70" s="26">
        <f>SUM(I71:I73)</f>
        <v>6.51</v>
      </c>
      <c r="J70" s="23" t="str">
        <f>IF(COUNTIF(J71:J73,"Done")+COUNTIF(J71:J73,"Cut")=3,"Done",IF(COUNTIF(J71:J73,"Not started")=3,"Not started","In progress"))</f>
        <v>Not started</v>
      </c>
      <c r="K70" s="27">
        <f t="shared" si="78"/>
        <v>0</v>
      </c>
      <c r="L70" s="28">
        <f>SUM(L71:L73)</f>
        <v>0</v>
      </c>
      <c r="M70" s="29"/>
      <c r="N70" s="29"/>
      <c r="O70" s="29"/>
    </row>
    <row r="71" ht="15.75" customHeight="1" outlineLevel="3">
      <c r="A71" s="30" t="s">
        <v>152</v>
      </c>
      <c r="B71" s="30">
        <v>4.0</v>
      </c>
      <c r="C71" s="31" t="s">
        <v>153</v>
      </c>
      <c r="D71" s="30" t="s">
        <v>27</v>
      </c>
      <c r="E71" s="30">
        <v>4.0</v>
      </c>
      <c r="F71" s="30">
        <v>16.0</v>
      </c>
      <c r="G71" s="32">
        <f t="shared" ref="G71:H71" si="79">G70</f>
        <v>46323</v>
      </c>
      <c r="H71" s="32">
        <f t="shared" si="79"/>
        <v>46323</v>
      </c>
      <c r="I71" s="33">
        <v>2.17</v>
      </c>
      <c r="J71" s="38" t="s">
        <v>75</v>
      </c>
      <c r="K71" s="35">
        <f t="shared" ref="K71:K73" si="81">IF(J71="Done",1,IF(J71="In progress",0.5,0))</f>
        <v>0</v>
      </c>
      <c r="L71" s="36">
        <f t="shared" ref="L71:L73" si="82">I71*K71</f>
        <v>0</v>
      </c>
      <c r="M71" s="37"/>
      <c r="N71" s="51" t="str">
        <f>HYPERLINK("https://www.youtube.com/results?search_query=python+uv+package+manager+tutorial","YouTube: python uv package manager tutorial")</f>
        <v>YouTube: python uv package manager tutorial</v>
      </c>
      <c r="O71" s="51" t="str">
        <f>HYPERLINK("https://docs.astral.sh/uv/","uv docs")</f>
        <v>uv docs</v>
      </c>
    </row>
    <row r="72" ht="15.75" customHeight="1" outlineLevel="3">
      <c r="A72" s="30" t="s">
        <v>154</v>
      </c>
      <c r="B72" s="30">
        <v>4.0</v>
      </c>
      <c r="C72" s="31" t="s">
        <v>155</v>
      </c>
      <c r="D72" s="30" t="s">
        <v>27</v>
      </c>
      <c r="E72" s="30">
        <v>4.0</v>
      </c>
      <c r="F72" s="30">
        <v>16.0</v>
      </c>
      <c r="G72" s="32">
        <f t="shared" ref="G72:H72" si="80">G70</f>
        <v>46323</v>
      </c>
      <c r="H72" s="32">
        <f t="shared" si="80"/>
        <v>46323</v>
      </c>
      <c r="I72" s="33">
        <v>2.17</v>
      </c>
      <c r="J72" s="38" t="s">
        <v>75</v>
      </c>
      <c r="K72" s="35">
        <f t="shared" si="81"/>
        <v>0</v>
      </c>
      <c r="L72" s="36">
        <f t="shared" si="82"/>
        <v>0</v>
      </c>
      <c r="M72" s="37"/>
      <c r="N72" s="51" t="str">
        <f>HYPERLINK("https://www.youtube.com/results?search_query=python+for+php+developers","YouTube: python for php developers")</f>
        <v>YouTube: python for php developers</v>
      </c>
      <c r="O72" s="51" t="str">
        <f>HYPERLINK("https://docs.python.org/3/tutorial/","Python tutorial")</f>
        <v>Python tutorial</v>
      </c>
    </row>
    <row r="73" ht="15.75" customHeight="1" outlineLevel="3">
      <c r="A73" s="30" t="s">
        <v>156</v>
      </c>
      <c r="B73" s="30">
        <v>4.0</v>
      </c>
      <c r="C73" s="31" t="s">
        <v>157</v>
      </c>
      <c r="D73" s="30" t="s">
        <v>27</v>
      </c>
      <c r="E73" s="30">
        <v>4.0</v>
      </c>
      <c r="F73" s="30">
        <v>16.0</v>
      </c>
      <c r="G73" s="32">
        <f t="shared" ref="G73:H73" si="83">G70</f>
        <v>46323</v>
      </c>
      <c r="H73" s="32">
        <f t="shared" si="83"/>
        <v>46323</v>
      </c>
      <c r="I73" s="33">
        <v>2.17</v>
      </c>
      <c r="J73" s="38" t="s">
        <v>75</v>
      </c>
      <c r="K73" s="35">
        <f t="shared" si="81"/>
        <v>0</v>
      </c>
      <c r="L73" s="36">
        <f t="shared" si="82"/>
        <v>0</v>
      </c>
      <c r="M73" s="37"/>
      <c r="N73" s="51" t="str">
        <f>HYPERLINK("https://www.youtube.com/results?search_query=python+vs+php+differences","YouTube: python vs php differences")</f>
        <v>YouTube: python vs php differences</v>
      </c>
      <c r="O73" s="51" t="str">
        <f>HYPERLINK("https://www.google.com/search?q=python+vs+php+concepts+compared","Search: python vs php concepts compared")</f>
        <v>Search: python vs php concepts compared</v>
      </c>
    </row>
    <row r="74" ht="15.75" customHeight="1" outlineLevel="2">
      <c r="A74" s="22" t="s">
        <v>158</v>
      </c>
      <c r="B74" s="23">
        <v>3.0</v>
      </c>
      <c r="C74" s="24" t="s">
        <v>159</v>
      </c>
      <c r="D74" s="23" t="s">
        <v>24</v>
      </c>
      <c r="E74" s="23">
        <v>4.0</v>
      </c>
      <c r="F74" s="23">
        <v>17.0</v>
      </c>
      <c r="G74" s="25">
        <f>WORKDAY($C$2,F74-1)</f>
        <v>46324</v>
      </c>
      <c r="H74" s="25">
        <f>G74</f>
        <v>46324</v>
      </c>
      <c r="I74" s="26">
        <f>SUM(I75:I76)</f>
        <v>6.5</v>
      </c>
      <c r="J74" s="23" t="str">
        <f>IF(COUNTIF(J75:J76,"Done")+COUNTIF(J75:J76,"Cut")=2,"Done",IF(COUNTIF(J75:J76,"Not started")=2,"Not started","In progress"))</f>
        <v>Not started</v>
      </c>
      <c r="K74" s="27">
        <f>IF(I74=0,0,L74/I74)</f>
        <v>0</v>
      </c>
      <c r="L74" s="28">
        <f>SUM(L75:L76)</f>
        <v>0</v>
      </c>
      <c r="M74" s="29"/>
      <c r="N74" s="29"/>
      <c r="O74" s="29"/>
    </row>
    <row r="75" ht="15.75" customHeight="1" outlineLevel="3">
      <c r="A75" s="30" t="s">
        <v>160</v>
      </c>
      <c r="B75" s="30">
        <v>4.0</v>
      </c>
      <c r="C75" s="31" t="s">
        <v>161</v>
      </c>
      <c r="D75" s="30" t="s">
        <v>27</v>
      </c>
      <c r="E75" s="30">
        <v>4.0</v>
      </c>
      <c r="F75" s="30">
        <v>17.0</v>
      </c>
      <c r="G75" s="32">
        <f t="shared" ref="G75:H75" si="84">G74</f>
        <v>46324</v>
      </c>
      <c r="H75" s="32">
        <f t="shared" si="84"/>
        <v>46324</v>
      </c>
      <c r="I75" s="33">
        <v>3.25</v>
      </c>
      <c r="J75" s="38" t="s">
        <v>75</v>
      </c>
      <c r="K75" s="35">
        <f t="shared" ref="K75:K76" si="86">IF(J75="Done",1,IF(J75="In progress",0.5,0))</f>
        <v>0</v>
      </c>
      <c r="L75" s="36">
        <f t="shared" ref="L75:L76" si="87">I75*K75</f>
        <v>0</v>
      </c>
      <c r="M75" s="37"/>
      <c r="N75" s="51" t="str">
        <f>HYPERLINK("https://www.youtube.com/results?search_query=pydantic+async+httpx+python+tutorial","YouTube: pydantic async httpx python tutorial")</f>
        <v>YouTube: pydantic async httpx python tutorial</v>
      </c>
      <c r="O75" s="51" t="str">
        <f>HYPERLINK("https://docs.pydantic.dev/latest/","Pydantic docs")</f>
        <v>Pydantic docs</v>
      </c>
    </row>
    <row r="76" ht="15.75" customHeight="1" outlineLevel="3">
      <c r="A76" s="30" t="s">
        <v>162</v>
      </c>
      <c r="B76" s="30">
        <v>4.0</v>
      </c>
      <c r="C76" s="31" t="s">
        <v>163</v>
      </c>
      <c r="D76" s="30" t="s">
        <v>27</v>
      </c>
      <c r="E76" s="30">
        <v>4.0</v>
      </c>
      <c r="F76" s="30">
        <v>17.0</v>
      </c>
      <c r="G76" s="32">
        <f t="shared" ref="G76:H76" si="85">G74</f>
        <v>46324</v>
      </c>
      <c r="H76" s="32">
        <f t="shared" si="85"/>
        <v>46324</v>
      </c>
      <c r="I76" s="33">
        <v>3.25</v>
      </c>
      <c r="J76" s="38" t="s">
        <v>75</v>
      </c>
      <c r="K76" s="35">
        <f t="shared" si="86"/>
        <v>0</v>
      </c>
      <c r="L76" s="36">
        <f t="shared" si="87"/>
        <v>0</v>
      </c>
      <c r="M76" s="37"/>
      <c r="N76" s="51" t="str">
        <f>HYPERLINK("https://www.youtube.com/results?search_query=pytest+fixtures+parametrize","YouTube: pytest fixtures parametrize")</f>
        <v>YouTube: pytest fixtures parametrize</v>
      </c>
      <c r="O76" s="51" t="str">
        <f>HYPERLINK("https://docs.pytest.org/en/stable/getting-started.html","pytest: Get started")</f>
        <v>pytest: Get started</v>
      </c>
    </row>
    <row r="77" ht="15.75" customHeight="1" outlineLevel="2">
      <c r="A77" s="22" t="s">
        <v>164</v>
      </c>
      <c r="B77" s="23">
        <v>3.0</v>
      </c>
      <c r="C77" s="24" t="s">
        <v>165</v>
      </c>
      <c r="D77" s="23" t="s">
        <v>24</v>
      </c>
      <c r="E77" s="23">
        <v>4.0</v>
      </c>
      <c r="F77" s="23">
        <v>18.0</v>
      </c>
      <c r="G77" s="25">
        <f>WORKDAY($C$2,F77-1)</f>
        <v>46325</v>
      </c>
      <c r="H77" s="25">
        <f>G77</f>
        <v>46325</v>
      </c>
      <c r="I77" s="26">
        <f>SUM(I78:I80)</f>
        <v>6.51</v>
      </c>
      <c r="J77" s="23" t="str">
        <f>IF(COUNTIF(J78:J80,"Done")+COUNTIF(J78:J80,"Cut")=3,"Done",IF(COUNTIF(J78:J80,"Not started")=3,"Not started","In progress"))</f>
        <v>Not started</v>
      </c>
      <c r="K77" s="27">
        <f>IF(I77=0,0,L77/I77)</f>
        <v>0</v>
      </c>
      <c r="L77" s="28">
        <f>SUM(L78:L80)</f>
        <v>0</v>
      </c>
      <c r="M77" s="29"/>
      <c r="N77" s="29"/>
      <c r="O77" s="29"/>
    </row>
    <row r="78" ht="15.75" customHeight="1" outlineLevel="3">
      <c r="A78" s="30" t="s">
        <v>166</v>
      </c>
      <c r="B78" s="30">
        <v>4.0</v>
      </c>
      <c r="C78" s="31" t="s">
        <v>167</v>
      </c>
      <c r="D78" s="30" t="s">
        <v>27</v>
      </c>
      <c r="E78" s="30">
        <v>4.0</v>
      </c>
      <c r="F78" s="30">
        <v>18.0</v>
      </c>
      <c r="G78" s="32">
        <f t="shared" ref="G78:H78" si="88">G77</f>
        <v>46325</v>
      </c>
      <c r="H78" s="32">
        <f t="shared" si="88"/>
        <v>46325</v>
      </c>
      <c r="I78" s="33">
        <v>2.17</v>
      </c>
      <c r="J78" s="38" t="s">
        <v>75</v>
      </c>
      <c r="K78" s="35">
        <f t="shared" ref="K78:K80" si="90">IF(J78="Done",1,IF(J78="In progress",0.5,0))</f>
        <v>0</v>
      </c>
      <c r="L78" s="36">
        <f t="shared" ref="L78:L80" si="91">I78*K78</f>
        <v>0</v>
      </c>
      <c r="M78" s="37"/>
      <c r="N78" s="51" t="str">
        <f>HYPERLINK("https://www.youtube.com/results?search_query=fastapi+tutorial","YouTube: fastapi tutorial")</f>
        <v>YouTube: fastapi tutorial</v>
      </c>
      <c r="O78" s="51" t="str">
        <f>HYPERLINK("https://fastapi.tiangolo.com/tutorial/","FastAPI tutorial")</f>
        <v>FastAPI tutorial</v>
      </c>
    </row>
    <row r="79" ht="15.75" customHeight="1" outlineLevel="3">
      <c r="A79" s="30" t="s">
        <v>168</v>
      </c>
      <c r="B79" s="30">
        <v>4.0</v>
      </c>
      <c r="C79" s="31" t="s">
        <v>169</v>
      </c>
      <c r="D79" s="30" t="s">
        <v>27</v>
      </c>
      <c r="E79" s="30">
        <v>4.0</v>
      </c>
      <c r="F79" s="30">
        <v>18.0</v>
      </c>
      <c r="G79" s="32">
        <f t="shared" ref="G79:H79" si="89">G77</f>
        <v>46325</v>
      </c>
      <c r="H79" s="32">
        <f t="shared" si="89"/>
        <v>46325</v>
      </c>
      <c r="I79" s="33">
        <v>2.17</v>
      </c>
      <c r="J79" s="38" t="s">
        <v>75</v>
      </c>
      <c r="K79" s="35">
        <f t="shared" si="90"/>
        <v>0</v>
      </c>
      <c r="L79" s="36">
        <f t="shared" si="91"/>
        <v>0</v>
      </c>
      <c r="M79" s="37"/>
      <c r="N79" s="51" t="str">
        <f>HYPERLINK("https://www.youtube.com/results?search_query=fastapi+docker+compose","YouTube: fastapi docker compose")</f>
        <v>YouTube: fastapi docker compose</v>
      </c>
      <c r="O79" s="51" t="str">
        <f>HYPERLINK("https://fastapi.tiangolo.com/deployment/docker/","FastAPI: Docker")</f>
        <v>FastAPI: Docker</v>
      </c>
    </row>
    <row r="80" ht="15.75" customHeight="1" outlineLevel="3">
      <c r="A80" s="30" t="s">
        <v>170</v>
      </c>
      <c r="B80" s="30">
        <v>4.0</v>
      </c>
      <c r="C80" s="31" t="s">
        <v>171</v>
      </c>
      <c r="D80" s="30" t="s">
        <v>27</v>
      </c>
      <c r="E80" s="30">
        <v>4.0</v>
      </c>
      <c r="F80" s="30">
        <v>18.0</v>
      </c>
      <c r="G80" s="32">
        <f t="shared" ref="G80:H80" si="92">G77</f>
        <v>46325</v>
      </c>
      <c r="H80" s="32">
        <f t="shared" si="92"/>
        <v>46325</v>
      </c>
      <c r="I80" s="33">
        <v>2.17</v>
      </c>
      <c r="J80" s="38" t="s">
        <v>75</v>
      </c>
      <c r="K80" s="35">
        <f t="shared" si="90"/>
        <v>0</v>
      </c>
      <c r="L80" s="36">
        <f t="shared" si="91"/>
        <v>0</v>
      </c>
      <c r="M80" s="37"/>
      <c r="N80" s="51" t="str">
        <f>HYPERLINK("https://www.youtube.com/results?search_query=laravel+http+client","YouTube: laravel http client")</f>
        <v>YouTube: laravel http client</v>
      </c>
      <c r="O80" s="51" t="str">
        <f>HYPERLINK("https://laravel.com/docs/http-client","Laravel docs: HTTP client")</f>
        <v>Laravel docs: HTTP client</v>
      </c>
    </row>
    <row r="81" ht="15.75" customHeight="1" outlineLevel="2">
      <c r="A81" s="22" t="s">
        <v>172</v>
      </c>
      <c r="B81" s="23">
        <v>3.0</v>
      </c>
      <c r="C81" s="24" t="s">
        <v>173</v>
      </c>
      <c r="D81" s="23" t="s">
        <v>24</v>
      </c>
      <c r="E81" s="23">
        <v>4.0</v>
      </c>
      <c r="F81" s="23">
        <v>19.0</v>
      </c>
      <c r="G81" s="25">
        <f>WORKDAY($C$2,F81-1)</f>
        <v>46328</v>
      </c>
      <c r="H81" s="25">
        <f>G81</f>
        <v>46328</v>
      </c>
      <c r="I81" s="26">
        <f>SUM(I82:I84)</f>
        <v>6.51</v>
      </c>
      <c r="J81" s="23" t="str">
        <f>IF(COUNTIF(J82:J84,"Done")+COUNTIF(J82:J84,"Cut")=3,"Done",IF(COUNTIF(J82:J84,"Not started")=3,"Not started","In progress"))</f>
        <v>Not started</v>
      </c>
      <c r="K81" s="27">
        <f>IF(I81=0,0,L81/I81)</f>
        <v>0</v>
      </c>
      <c r="L81" s="28">
        <f>SUM(L82:L84)</f>
        <v>0</v>
      </c>
      <c r="M81" s="29"/>
      <c r="N81" s="29"/>
      <c r="O81" s="29"/>
    </row>
    <row r="82" ht="15.75" customHeight="1" outlineLevel="3">
      <c r="A82" s="30" t="s">
        <v>174</v>
      </c>
      <c r="B82" s="30">
        <v>4.0</v>
      </c>
      <c r="C82" s="31" t="s">
        <v>175</v>
      </c>
      <c r="D82" s="30" t="s">
        <v>27</v>
      </c>
      <c r="E82" s="30">
        <v>4.0</v>
      </c>
      <c r="F82" s="30">
        <v>19.0</v>
      </c>
      <c r="G82" s="32">
        <f t="shared" ref="G82:H82" si="93">G81</f>
        <v>46328</v>
      </c>
      <c r="H82" s="32">
        <f t="shared" si="93"/>
        <v>46328</v>
      </c>
      <c r="I82" s="33">
        <v>2.17</v>
      </c>
      <c r="J82" s="38" t="s">
        <v>75</v>
      </c>
      <c r="K82" s="35">
        <f t="shared" ref="K82:K84" si="95">IF(J82="Done",1,IF(J82="In progress",0.5,0))</f>
        <v>0</v>
      </c>
      <c r="L82" s="36">
        <f t="shared" ref="L82:L84" si="96">I82*K82</f>
        <v>0</v>
      </c>
      <c r="M82" s="37"/>
      <c r="N82" s="51" t="str">
        <f>HYPERLINK("https://www.youtube.com/results?search_query=ollama+tutorial+embedding+models","YouTube: ollama tutorial embedding models")</f>
        <v>YouTube: ollama tutorial embedding models</v>
      </c>
      <c r="O82" s="51" t="str">
        <f>HYPERLINK("https://github.com/ollama/ollama","Ollama on GitHub")</f>
        <v>Ollama on GitHub</v>
      </c>
    </row>
    <row r="83" ht="15.75" customHeight="1" outlineLevel="3">
      <c r="A83" s="30" t="s">
        <v>176</v>
      </c>
      <c r="B83" s="30">
        <v>4.0</v>
      </c>
      <c r="C83" s="31" t="s">
        <v>177</v>
      </c>
      <c r="D83" s="30" t="s">
        <v>27</v>
      </c>
      <c r="E83" s="30">
        <v>4.0</v>
      </c>
      <c r="F83" s="30">
        <v>19.0</v>
      </c>
      <c r="G83" s="32">
        <f t="shared" ref="G83:H83" si="94">G81</f>
        <v>46328</v>
      </c>
      <c r="H83" s="32">
        <f t="shared" si="94"/>
        <v>46328</v>
      </c>
      <c r="I83" s="33">
        <v>2.17</v>
      </c>
      <c r="J83" s="38" t="s">
        <v>75</v>
      </c>
      <c r="K83" s="35">
        <f t="shared" si="95"/>
        <v>0</v>
      </c>
      <c r="L83" s="36">
        <f t="shared" si="96"/>
        <v>0</v>
      </c>
      <c r="M83" s="37"/>
      <c r="N83" s="51" t="str">
        <f>HYPERLINK("https://www.youtube.com/results?search_query=ollama+python+library","YouTube: ollama python library")</f>
        <v>YouTube: ollama python library</v>
      </c>
      <c r="O83" s="51" t="str">
        <f>HYPERLINK("https://github.com/ollama/ollama-python","ollama-python on GitHub")</f>
        <v>ollama-python on GitHub</v>
      </c>
    </row>
    <row r="84" ht="15.75" customHeight="1" outlineLevel="3">
      <c r="A84" s="30" t="s">
        <v>178</v>
      </c>
      <c r="B84" s="30">
        <v>4.0</v>
      </c>
      <c r="C84" s="31" t="s">
        <v>179</v>
      </c>
      <c r="D84" s="30" t="s">
        <v>27</v>
      </c>
      <c r="E84" s="30">
        <v>4.0</v>
      </c>
      <c r="F84" s="30">
        <v>19.0</v>
      </c>
      <c r="G84" s="32">
        <f t="shared" ref="G84:H84" si="97">G81</f>
        <v>46328</v>
      </c>
      <c r="H84" s="32">
        <f t="shared" si="97"/>
        <v>46328</v>
      </c>
      <c r="I84" s="33">
        <v>2.17</v>
      </c>
      <c r="J84" s="38" t="s">
        <v>75</v>
      </c>
      <c r="K84" s="35">
        <f t="shared" si="95"/>
        <v>0</v>
      </c>
      <c r="L84" s="36">
        <f t="shared" si="96"/>
        <v>0</v>
      </c>
      <c r="M84" s="37"/>
      <c r="N84" s="51" t="str">
        <f>HYPERLINK("https://www.youtube.com/results?search_query=local+llm+ram+requirements","YouTube: local llm ram requirements")</f>
        <v>YouTube: local llm ram requirements</v>
      </c>
      <c r="O84" s="51" t="str">
        <f>HYPERLINK("https://www.google.com/search?q=ollama+model+size+RAM+requirements","Search: ollama model size RAM requirements")</f>
        <v>Search: ollama model size RAM requirements</v>
      </c>
    </row>
    <row r="85" ht="15.75" customHeight="1" outlineLevel="2">
      <c r="A85" s="22" t="s">
        <v>180</v>
      </c>
      <c r="B85" s="23">
        <v>3.0</v>
      </c>
      <c r="C85" s="24" t="s">
        <v>181</v>
      </c>
      <c r="D85" s="23" t="s">
        <v>24</v>
      </c>
      <c r="E85" s="23">
        <v>4.0</v>
      </c>
      <c r="F85" s="23">
        <v>20.0</v>
      </c>
      <c r="G85" s="25">
        <f>WORKDAY($C$2,F85-1)</f>
        <v>46329</v>
      </c>
      <c r="H85" s="25">
        <f>G85</f>
        <v>46329</v>
      </c>
      <c r="I85" s="26">
        <f>SUM(I86:I88)</f>
        <v>6.51</v>
      </c>
      <c r="J85" s="23" t="str">
        <f>IF(COUNTIF(J86:J88,"Done")+COUNTIF(J86:J88,"Cut")=3,"Done",IF(COUNTIF(J86:J88,"Not started")=3,"Not started","In progress"))</f>
        <v>Not started</v>
      </c>
      <c r="K85" s="27">
        <f>IF(I85=0,0,L85/I85)</f>
        <v>0</v>
      </c>
      <c r="L85" s="28">
        <f>SUM(L86:L88)</f>
        <v>0</v>
      </c>
      <c r="M85" s="29"/>
      <c r="N85" s="29"/>
      <c r="O85" s="29"/>
    </row>
    <row r="86" ht="15.75" customHeight="1" outlineLevel="3">
      <c r="A86" s="30" t="s">
        <v>182</v>
      </c>
      <c r="B86" s="30">
        <v>4.0</v>
      </c>
      <c r="C86" s="31" t="s">
        <v>183</v>
      </c>
      <c r="D86" s="30" t="s">
        <v>27</v>
      </c>
      <c r="E86" s="30">
        <v>4.0</v>
      </c>
      <c r="F86" s="30">
        <v>20.0</v>
      </c>
      <c r="G86" s="32">
        <f t="shared" ref="G86:H86" si="98">G85</f>
        <v>46329</v>
      </c>
      <c r="H86" s="32">
        <f t="shared" si="98"/>
        <v>46329</v>
      </c>
      <c r="I86" s="33">
        <v>2.17</v>
      </c>
      <c r="J86" s="38" t="s">
        <v>75</v>
      </c>
      <c r="K86" s="35">
        <f t="shared" ref="K86:K88" si="100">IF(J86="Done",1,IF(J86="In progress",0.5,0))</f>
        <v>0</v>
      </c>
      <c r="L86" s="36">
        <f t="shared" ref="L86:L88" si="101">I86*K86</f>
        <v>0</v>
      </c>
      <c r="M86" s="37"/>
      <c r="N86" s="51" t="str">
        <f>HYPERLINK("https://www.youtube.com/results?search_query=fastapi+testing+pytest+testclient","YouTube: fastapi testing pytest testclient")</f>
        <v>YouTube: fastapi testing pytest testclient</v>
      </c>
      <c r="O86" s="51" t="str">
        <f>HYPERLINK("https://fastapi.tiangolo.com/tutorial/testing/","FastAPI: Testing")</f>
        <v>FastAPI: Testing</v>
      </c>
    </row>
    <row r="87" ht="15.75" customHeight="1" outlineLevel="3">
      <c r="A87" s="30" t="s">
        <v>184</v>
      </c>
      <c r="B87" s="30">
        <v>4.0</v>
      </c>
      <c r="C87" s="31" t="s">
        <v>185</v>
      </c>
      <c r="D87" s="30" t="s">
        <v>27</v>
      </c>
      <c r="E87" s="30">
        <v>4.0</v>
      </c>
      <c r="F87" s="30">
        <v>20.0</v>
      </c>
      <c r="G87" s="32">
        <f t="shared" ref="G87:H87" si="99">G85</f>
        <v>46329</v>
      </c>
      <c r="H87" s="32">
        <f t="shared" si="99"/>
        <v>46329</v>
      </c>
      <c r="I87" s="33">
        <v>2.17</v>
      </c>
      <c r="J87" s="38" t="s">
        <v>75</v>
      </c>
      <c r="K87" s="35">
        <f t="shared" si="100"/>
        <v>0</v>
      </c>
      <c r="L87" s="36">
        <f t="shared" si="101"/>
        <v>0</v>
      </c>
      <c r="M87" s="37"/>
      <c r="N87" s="51" t="str">
        <f>HYPERLINK("https://www.youtube.com/results?search_query=ruff+python+linter","YouTube: ruff python linter")</f>
        <v>YouTube: ruff python linter</v>
      </c>
      <c r="O87" s="51" t="str">
        <f>HYPERLINK("https://docs.astral.sh/ruff/","Ruff docs")</f>
        <v>Ruff docs</v>
      </c>
    </row>
    <row r="88" ht="15.75" customHeight="1" outlineLevel="3">
      <c r="A88" s="30" t="s">
        <v>186</v>
      </c>
      <c r="B88" s="30">
        <v>4.0</v>
      </c>
      <c r="C88" s="31" t="s">
        <v>147</v>
      </c>
      <c r="D88" s="30" t="s">
        <v>27</v>
      </c>
      <c r="E88" s="30">
        <v>4.0</v>
      </c>
      <c r="F88" s="30">
        <v>20.0</v>
      </c>
      <c r="G88" s="32">
        <f t="shared" ref="G88:H88" si="102">G85</f>
        <v>46329</v>
      </c>
      <c r="H88" s="32">
        <f t="shared" si="102"/>
        <v>46329</v>
      </c>
      <c r="I88" s="33">
        <v>2.17</v>
      </c>
      <c r="J88" s="38" t="s">
        <v>75</v>
      </c>
      <c r="K88" s="35">
        <f t="shared" si="100"/>
        <v>0</v>
      </c>
      <c r="L88" s="36">
        <f t="shared" si="101"/>
        <v>0</v>
      </c>
      <c r="M88" s="37"/>
      <c r="N88" s="37"/>
      <c r="O88" s="37"/>
    </row>
    <row r="89" ht="15.75" customHeight="1" outlineLevel="1">
      <c r="A89" s="14" t="s">
        <v>187</v>
      </c>
      <c r="B89" s="15">
        <v>2.0</v>
      </c>
      <c r="C89" s="16" t="s">
        <v>188</v>
      </c>
      <c r="D89" s="15" t="s">
        <v>21</v>
      </c>
      <c r="E89" s="15">
        <v>5.0</v>
      </c>
      <c r="F89" s="15"/>
      <c r="G89" s="17">
        <f>G90</f>
        <v>46330</v>
      </c>
      <c r="H89" s="17">
        <f>H105</f>
        <v>46336</v>
      </c>
      <c r="I89" s="18">
        <f>SUM(I90,I94,I97,I101,I105)</f>
        <v>32.54</v>
      </c>
      <c r="J89" s="15"/>
      <c r="K89" s="19">
        <f t="shared" ref="K89:K90" si="103">IF(I89=0,0,L89/I89)</f>
        <v>0</v>
      </c>
      <c r="L89" s="20">
        <f>SUM(L90,L94,L97,L101,L105)</f>
        <v>0</v>
      </c>
      <c r="M89" s="21"/>
      <c r="N89" s="21"/>
      <c r="O89" s="21"/>
    </row>
    <row r="90" ht="15.75" customHeight="1" outlineLevel="2">
      <c r="A90" s="22" t="s">
        <v>189</v>
      </c>
      <c r="B90" s="23">
        <v>3.0</v>
      </c>
      <c r="C90" s="24" t="s">
        <v>190</v>
      </c>
      <c r="D90" s="23" t="s">
        <v>24</v>
      </c>
      <c r="E90" s="23">
        <v>5.0</v>
      </c>
      <c r="F90" s="23">
        <v>21.0</v>
      </c>
      <c r="G90" s="25">
        <f>WORKDAY($C$2,F90-1)</f>
        <v>46330</v>
      </c>
      <c r="H90" s="25">
        <f>G90</f>
        <v>46330</v>
      </c>
      <c r="I90" s="26">
        <f>SUM(I91:I93)</f>
        <v>6.51</v>
      </c>
      <c r="J90" s="23" t="str">
        <f>IF(COUNTIF(J91:J93,"Done")+COUNTIF(J91:J93,"Cut")=3,"Done",IF(COUNTIF(J91:J93,"Not started")=3,"Not started","In progress"))</f>
        <v>Not started</v>
      </c>
      <c r="K90" s="27">
        <f t="shared" si="103"/>
        <v>0</v>
      </c>
      <c r="L90" s="28">
        <f>SUM(L91:L93)</f>
        <v>0</v>
      </c>
      <c r="M90" s="29"/>
      <c r="N90" s="29"/>
      <c r="O90" s="29"/>
    </row>
    <row r="91" ht="15.75" customHeight="1" outlineLevel="3">
      <c r="A91" s="30" t="s">
        <v>191</v>
      </c>
      <c r="B91" s="30">
        <v>4.0</v>
      </c>
      <c r="C91" s="31" t="s">
        <v>192</v>
      </c>
      <c r="D91" s="30" t="s">
        <v>27</v>
      </c>
      <c r="E91" s="30">
        <v>5.0</v>
      </c>
      <c r="F91" s="30">
        <v>21.0</v>
      </c>
      <c r="G91" s="32">
        <f t="shared" ref="G91:H91" si="104">G90</f>
        <v>46330</v>
      </c>
      <c r="H91" s="32">
        <f t="shared" si="104"/>
        <v>46330</v>
      </c>
      <c r="I91" s="33">
        <v>2.17</v>
      </c>
      <c r="J91" s="38" t="s">
        <v>75</v>
      </c>
      <c r="K91" s="35">
        <f t="shared" ref="K91:K93" si="106">IF(J91="Done",1,IF(J91="In progress",0.5,0))</f>
        <v>0</v>
      </c>
      <c r="L91" s="36">
        <f t="shared" ref="L91:L93" si="107">I91*K91</f>
        <v>0</v>
      </c>
      <c r="M91" s="37"/>
      <c r="N91" s="51" t="str">
        <f>HYPERLINK("https://www.youtube.com/results?search_query=vector+embeddings+explained","YouTube: vector embeddings explained")</f>
        <v>YouTube: vector embeddings explained</v>
      </c>
      <c r="O91" s="51" t="str">
        <f>HYPERLINK("https://github.com/pgvector/pgvector","pgvector on GitHub")</f>
        <v>pgvector on GitHub</v>
      </c>
    </row>
    <row r="92" ht="15.75" customHeight="1" outlineLevel="3">
      <c r="A92" s="30" t="s">
        <v>193</v>
      </c>
      <c r="B92" s="30">
        <v>4.0</v>
      </c>
      <c r="C92" s="31" t="s">
        <v>194</v>
      </c>
      <c r="D92" s="30" t="s">
        <v>27</v>
      </c>
      <c r="E92" s="30">
        <v>5.0</v>
      </c>
      <c r="F92" s="30">
        <v>21.0</v>
      </c>
      <c r="G92" s="32">
        <f t="shared" ref="G92:H92" si="105">G90</f>
        <v>46330</v>
      </c>
      <c r="H92" s="32">
        <f t="shared" si="105"/>
        <v>46330</v>
      </c>
      <c r="I92" s="33">
        <v>2.17</v>
      </c>
      <c r="J92" s="38" t="s">
        <v>75</v>
      </c>
      <c r="K92" s="35">
        <f t="shared" si="106"/>
        <v>0</v>
      </c>
      <c r="L92" s="36">
        <f t="shared" si="107"/>
        <v>0</v>
      </c>
      <c r="M92" s="37"/>
      <c r="N92" s="51" t="str">
        <f>HYPERLINK("https://www.youtube.com/results?search_query=laravel+inertia+react+crud","YouTube: laravel inertia react crud")</f>
        <v>YouTube: laravel inertia react crud</v>
      </c>
      <c r="O92" s="51" t="str">
        <f>HYPERLINK("https://laravel.com/docs/controllers#resource-controllers","Laravel docs: Resource controllers")</f>
        <v>Laravel docs: Resource controllers</v>
      </c>
    </row>
    <row r="93" ht="15.75" customHeight="1" outlineLevel="3">
      <c r="A93" s="30" t="s">
        <v>195</v>
      </c>
      <c r="B93" s="30">
        <v>4.0</v>
      </c>
      <c r="C93" s="31" t="s">
        <v>196</v>
      </c>
      <c r="D93" s="30" t="s">
        <v>27</v>
      </c>
      <c r="E93" s="30">
        <v>5.0</v>
      </c>
      <c r="F93" s="30">
        <v>21.0</v>
      </c>
      <c r="G93" s="32">
        <f t="shared" ref="G93:H93" si="108">G90</f>
        <v>46330</v>
      </c>
      <c r="H93" s="32">
        <f t="shared" si="108"/>
        <v>46330</v>
      </c>
      <c r="I93" s="33">
        <v>2.17</v>
      </c>
      <c r="J93" s="38" t="s">
        <v>75</v>
      </c>
      <c r="K93" s="35">
        <f t="shared" si="106"/>
        <v>0</v>
      </c>
      <c r="L93" s="36">
        <f t="shared" si="107"/>
        <v>0</v>
      </c>
      <c r="M93" s="37"/>
      <c r="N93" s="51" t="str">
        <f>HYPERLINK("https://www.youtube.com/results?search_query=pgvector+laravel+php","YouTube: pgvector laravel php")</f>
        <v>YouTube: pgvector laravel php</v>
      </c>
      <c r="O93" s="51" t="str">
        <f>HYPERLINK("https://github.com/pgvector/pgvector-php","pgvector-php on GitHub")</f>
        <v>pgvector-php on GitHub</v>
      </c>
    </row>
    <row r="94" ht="15.75" customHeight="1" outlineLevel="2">
      <c r="A94" s="22" t="s">
        <v>197</v>
      </c>
      <c r="B94" s="23">
        <v>3.0</v>
      </c>
      <c r="C94" s="24" t="s">
        <v>198</v>
      </c>
      <c r="D94" s="23" t="s">
        <v>24</v>
      </c>
      <c r="E94" s="23">
        <v>5.0</v>
      </c>
      <c r="F94" s="23">
        <v>22.0</v>
      </c>
      <c r="G94" s="25">
        <f>WORKDAY($C$2,F94-1)</f>
        <v>46331</v>
      </c>
      <c r="H94" s="25">
        <f>G94</f>
        <v>46331</v>
      </c>
      <c r="I94" s="26">
        <f>SUM(I95:I96)</f>
        <v>6.5</v>
      </c>
      <c r="J94" s="23" t="str">
        <f>IF(COUNTIF(J95:J96,"Done")+COUNTIF(J95:J96,"Cut")=2,"Done",IF(COUNTIF(J95:J96,"Not started")=2,"Not started","In progress"))</f>
        <v>Not started</v>
      </c>
      <c r="K94" s="27">
        <f>IF(I94=0,0,L94/I94)</f>
        <v>0</v>
      </c>
      <c r="L94" s="28">
        <f>SUM(L95:L96)</f>
        <v>0</v>
      </c>
      <c r="M94" s="29"/>
      <c r="N94" s="29"/>
      <c r="O94" s="29"/>
    </row>
    <row r="95" ht="15.75" customHeight="1" outlineLevel="3">
      <c r="A95" s="30" t="s">
        <v>199</v>
      </c>
      <c r="B95" s="30">
        <v>4.0</v>
      </c>
      <c r="C95" s="31" t="s">
        <v>200</v>
      </c>
      <c r="D95" s="30" t="s">
        <v>27</v>
      </c>
      <c r="E95" s="30">
        <v>5.0</v>
      </c>
      <c r="F95" s="30">
        <v>22.0</v>
      </c>
      <c r="G95" s="32">
        <f t="shared" ref="G95:H95" si="109">G94</f>
        <v>46331</v>
      </c>
      <c r="H95" s="32">
        <f t="shared" si="109"/>
        <v>46331</v>
      </c>
      <c r="I95" s="33">
        <v>3.25</v>
      </c>
      <c r="J95" s="38" t="s">
        <v>75</v>
      </c>
      <c r="K95" s="35">
        <f t="shared" ref="K95:K96" si="111">IF(J95="Done",1,IF(J95="In progress",0.5,0))</f>
        <v>0</v>
      </c>
      <c r="L95" s="36">
        <f t="shared" ref="L95:L96" si="112">I95*K95</f>
        <v>0</v>
      </c>
      <c r="M95" s="37"/>
      <c r="N95" s="51" t="str">
        <f>HYPERLINK("https://www.youtube.com/results?search_query=RAG+retrieval+augmented+generation+explained","YouTube: RAG retrieval augmented generation explained")</f>
        <v>YouTube: RAG retrieval augmented generation explained</v>
      </c>
      <c r="O95" s="51" t="str">
        <f>HYPERLINK("https://github.com/pgvector/pgvector#querying","pgvector: Querying")</f>
        <v>pgvector: Querying</v>
      </c>
    </row>
    <row r="96" ht="15.75" customHeight="1" outlineLevel="3">
      <c r="A96" s="30" t="s">
        <v>201</v>
      </c>
      <c r="B96" s="30">
        <v>4.0</v>
      </c>
      <c r="C96" s="31" t="s">
        <v>202</v>
      </c>
      <c r="D96" s="30" t="s">
        <v>27</v>
      </c>
      <c r="E96" s="30">
        <v>5.0</v>
      </c>
      <c r="F96" s="30">
        <v>22.0</v>
      </c>
      <c r="G96" s="32">
        <f t="shared" ref="G96:H96" si="110">G94</f>
        <v>46331</v>
      </c>
      <c r="H96" s="32">
        <f t="shared" si="110"/>
        <v>46331</v>
      </c>
      <c r="I96" s="33">
        <v>3.25</v>
      </c>
      <c r="J96" s="38" t="s">
        <v>75</v>
      </c>
      <c r="K96" s="35">
        <f t="shared" si="111"/>
        <v>0</v>
      </c>
      <c r="L96" s="36">
        <f t="shared" si="112"/>
        <v>0</v>
      </c>
      <c r="M96" s="37"/>
      <c r="N96" s="51" t="str">
        <f>HYPERLINK("https://www.youtube.com/results?search_query=build+RAG+fastapi+ollama","YouTube: build RAG fastapi ollama")</f>
        <v>YouTube: build RAG fastapi ollama</v>
      </c>
      <c r="O96" s="51" t="str">
        <f>HYPERLINK("https://www.google.com/search?q=retrieval+augmented+generation+tutorial","Search: retrieval augmented generation tutorial")</f>
        <v>Search: retrieval augmented generation tutorial</v>
      </c>
    </row>
    <row r="97" ht="15.75" customHeight="1" outlineLevel="2">
      <c r="A97" s="22" t="s">
        <v>203</v>
      </c>
      <c r="B97" s="23">
        <v>3.0</v>
      </c>
      <c r="C97" s="24" t="s">
        <v>204</v>
      </c>
      <c r="D97" s="23" t="s">
        <v>24</v>
      </c>
      <c r="E97" s="23">
        <v>5.0</v>
      </c>
      <c r="F97" s="23">
        <v>23.0</v>
      </c>
      <c r="G97" s="25">
        <f>WORKDAY($C$2,F97-1)</f>
        <v>46332</v>
      </c>
      <c r="H97" s="25">
        <f>G97</f>
        <v>46332</v>
      </c>
      <c r="I97" s="26">
        <f>SUM(I98:I100)</f>
        <v>6.51</v>
      </c>
      <c r="J97" s="23" t="str">
        <f>IF(COUNTIF(J98:J100,"Done")+COUNTIF(J98:J100,"Cut")=3,"Done",IF(COUNTIF(J98:J100,"Not started")=3,"Not started","In progress"))</f>
        <v>Not started</v>
      </c>
      <c r="K97" s="27">
        <f>IF(I97=0,0,L97/I97)</f>
        <v>0</v>
      </c>
      <c r="L97" s="28">
        <f>SUM(L98:L100)</f>
        <v>0</v>
      </c>
      <c r="M97" s="29"/>
      <c r="N97" s="29"/>
      <c r="O97" s="29"/>
    </row>
    <row r="98" ht="15.75" customHeight="1" outlineLevel="3">
      <c r="A98" s="30" t="s">
        <v>205</v>
      </c>
      <c r="B98" s="30">
        <v>4.0</v>
      </c>
      <c r="C98" s="31" t="s">
        <v>206</v>
      </c>
      <c r="D98" s="30" t="s">
        <v>27</v>
      </c>
      <c r="E98" s="30">
        <v>5.0</v>
      </c>
      <c r="F98" s="30">
        <v>23.0</v>
      </c>
      <c r="G98" s="32">
        <f t="shared" ref="G98:H98" si="113">G97</f>
        <v>46332</v>
      </c>
      <c r="H98" s="32">
        <f t="shared" si="113"/>
        <v>46332</v>
      </c>
      <c r="I98" s="33">
        <v>2.17</v>
      </c>
      <c r="J98" s="38" t="s">
        <v>75</v>
      </c>
      <c r="K98" s="35">
        <f t="shared" ref="K98:K100" si="115">IF(J98="Done",1,IF(J98="In progress",0.5,0))</f>
        <v>0</v>
      </c>
      <c r="L98" s="36">
        <f t="shared" ref="L98:L100" si="116">I98*K98</f>
        <v>0</v>
      </c>
      <c r="M98" s="37"/>
      <c r="N98" s="51" t="str">
        <f>HYPERLINK("https://www.youtube.com/results?search_query=llm+structured+output+json+classification","YouTube: llm structured output json classification")</f>
        <v>YouTube: llm structured output json classification</v>
      </c>
      <c r="O98" s="51" t="str">
        <f>HYPERLINK("https://www.google.com/search?q=ollama+structured+outputs+json","Search: ollama structured outputs json")</f>
        <v>Search: ollama structured outputs json</v>
      </c>
    </row>
    <row r="99" ht="15.75" customHeight="1" outlineLevel="3">
      <c r="A99" s="30" t="s">
        <v>207</v>
      </c>
      <c r="B99" s="30">
        <v>4.0</v>
      </c>
      <c r="C99" s="31" t="s">
        <v>208</v>
      </c>
      <c r="D99" s="30" t="s">
        <v>27</v>
      </c>
      <c r="E99" s="30">
        <v>5.0</v>
      </c>
      <c r="F99" s="30">
        <v>23.0</v>
      </c>
      <c r="G99" s="32">
        <f t="shared" ref="G99:H99" si="114">G97</f>
        <v>46332</v>
      </c>
      <c r="H99" s="32">
        <f t="shared" si="114"/>
        <v>46332</v>
      </c>
      <c r="I99" s="33">
        <v>2.17</v>
      </c>
      <c r="J99" s="38" t="s">
        <v>75</v>
      </c>
      <c r="K99" s="35">
        <f t="shared" si="115"/>
        <v>0</v>
      </c>
      <c r="L99" s="36">
        <f t="shared" si="116"/>
        <v>0</v>
      </c>
      <c r="M99" s="37"/>
      <c r="N99" s="51" t="str">
        <f>HYPERLINK("https://www.youtube.com/results?search_query=laravel+queue+jobs","YouTube: laravel queue jobs")</f>
        <v>YouTube: laravel queue jobs</v>
      </c>
      <c r="O99" s="51" t="str">
        <f>HYPERLINK("https://laravel.com/docs/queues","Laravel docs: Queues")</f>
        <v>Laravel docs: Queues</v>
      </c>
    </row>
    <row r="100" ht="15.75" customHeight="1" outlineLevel="3">
      <c r="A100" s="30" t="s">
        <v>209</v>
      </c>
      <c r="B100" s="30">
        <v>4.0</v>
      </c>
      <c r="C100" s="31" t="s">
        <v>210</v>
      </c>
      <c r="D100" s="30" t="s">
        <v>27</v>
      </c>
      <c r="E100" s="30">
        <v>5.0</v>
      </c>
      <c r="F100" s="30">
        <v>23.0</v>
      </c>
      <c r="G100" s="32">
        <f t="shared" ref="G100:H100" si="117">G97</f>
        <v>46332</v>
      </c>
      <c r="H100" s="32">
        <f t="shared" si="117"/>
        <v>46332</v>
      </c>
      <c r="I100" s="33">
        <v>2.17</v>
      </c>
      <c r="J100" s="38" t="s">
        <v>75</v>
      </c>
      <c r="K100" s="35">
        <f t="shared" si="115"/>
        <v>0</v>
      </c>
      <c r="L100" s="36">
        <f t="shared" si="116"/>
        <v>0</v>
      </c>
      <c r="M100" s="37"/>
      <c r="N100" s="51" t="str">
        <f>HYPERLINK("https://www.youtube.com/results?search_query=human+in+the+loop+AI+confidence+threshold","YouTube: human in the loop AI confidence threshold")</f>
        <v>YouTube: human in the loop AI confidence threshold</v>
      </c>
      <c r="O100" s="51" t="str">
        <f>HYPERLINK("https://www.google.com/search?q=human+in+the+loop+AI+confidence+threshold","Search: human in the loop AI confidence threshold")</f>
        <v>Search: human in the loop AI confidence threshold</v>
      </c>
    </row>
    <row r="101" ht="15.75" customHeight="1" outlineLevel="2">
      <c r="A101" s="22" t="s">
        <v>211</v>
      </c>
      <c r="B101" s="23">
        <v>3.0</v>
      </c>
      <c r="C101" s="24" t="s">
        <v>212</v>
      </c>
      <c r="D101" s="23" t="s">
        <v>24</v>
      </c>
      <c r="E101" s="23">
        <v>5.0</v>
      </c>
      <c r="F101" s="23">
        <v>24.0</v>
      </c>
      <c r="G101" s="25">
        <f>WORKDAY($C$2,F101-1)</f>
        <v>46335</v>
      </c>
      <c r="H101" s="25">
        <f>G101</f>
        <v>46335</v>
      </c>
      <c r="I101" s="26">
        <f>SUM(I102:I104)</f>
        <v>6.51</v>
      </c>
      <c r="J101" s="23" t="str">
        <f>IF(COUNTIF(J102:J104,"Done")+COUNTIF(J102:J104,"Cut")=3,"Done",IF(COUNTIF(J102:J104,"Not started")=3,"Not started","In progress"))</f>
        <v>Not started</v>
      </c>
      <c r="K101" s="27">
        <f>IF(I101=0,0,L101/I101)</f>
        <v>0</v>
      </c>
      <c r="L101" s="28">
        <f>SUM(L102:L104)</f>
        <v>0</v>
      </c>
      <c r="M101" s="29"/>
      <c r="N101" s="29"/>
      <c r="O101" s="29"/>
    </row>
    <row r="102" ht="15.75" customHeight="1" outlineLevel="3">
      <c r="A102" s="30" t="s">
        <v>213</v>
      </c>
      <c r="B102" s="30">
        <v>4.0</v>
      </c>
      <c r="C102" s="31" t="s">
        <v>214</v>
      </c>
      <c r="D102" s="30" t="s">
        <v>27</v>
      </c>
      <c r="E102" s="30">
        <v>5.0</v>
      </c>
      <c r="F102" s="30">
        <v>24.0</v>
      </c>
      <c r="G102" s="32">
        <f t="shared" ref="G102:H102" si="118">G101</f>
        <v>46335</v>
      </c>
      <c r="H102" s="32">
        <f t="shared" si="118"/>
        <v>46335</v>
      </c>
      <c r="I102" s="33">
        <v>2.17</v>
      </c>
      <c r="J102" s="38" t="s">
        <v>75</v>
      </c>
      <c r="K102" s="35">
        <f t="shared" ref="K102:K104" si="120">IF(J102="Done",1,IF(J102="In progress",0.5,0))</f>
        <v>0</v>
      </c>
      <c r="L102" s="36">
        <f t="shared" ref="L102:L104" si="121">I102*K102</f>
        <v>0</v>
      </c>
      <c r="M102" s="37"/>
      <c r="N102" s="51" t="str">
        <f>HYPERLINK("https://www.youtube.com/results?search_query=laravel+service+container+interface+binding","YouTube: laravel service container interface binding")</f>
        <v>YouTube: laravel service container interface binding</v>
      </c>
      <c r="O102" s="51" t="str">
        <f>HYPERLINK("https://laravel.com/docs/container#binding-interfaces-to-implementations","Laravel docs: Binding interfaces")</f>
        <v>Laravel docs: Binding interfaces</v>
      </c>
    </row>
    <row r="103" ht="15.75" customHeight="1" outlineLevel="3">
      <c r="A103" s="30" t="s">
        <v>215</v>
      </c>
      <c r="B103" s="30">
        <v>4.0</v>
      </c>
      <c r="C103" s="31" t="s">
        <v>216</v>
      </c>
      <c r="D103" s="30" t="s">
        <v>27</v>
      </c>
      <c r="E103" s="30">
        <v>5.0</v>
      </c>
      <c r="F103" s="30">
        <v>24.0</v>
      </c>
      <c r="G103" s="32">
        <f t="shared" ref="G103:H103" si="119">G101</f>
        <v>46335</v>
      </c>
      <c r="H103" s="32">
        <f t="shared" si="119"/>
        <v>46335</v>
      </c>
      <c r="I103" s="33">
        <v>2.17</v>
      </c>
      <c r="J103" s="38" t="s">
        <v>75</v>
      </c>
      <c r="K103" s="35">
        <f t="shared" si="120"/>
        <v>0</v>
      </c>
      <c r="L103" s="36">
        <f t="shared" si="121"/>
        <v>0</v>
      </c>
      <c r="M103" s="37"/>
      <c r="N103" s="51" t="str">
        <f>HYPERLINK("https://www.youtube.com/results?search_query=prompt+versioning+llm+production","YouTube: prompt versioning llm production")</f>
        <v>YouTube: prompt versioning llm production</v>
      </c>
      <c r="O103" s="51" t="str">
        <f>HYPERLINK("https://laravel.com/docs/http-client#retries","Laravel docs: HTTP retries")</f>
        <v>Laravel docs: HTTP retries</v>
      </c>
    </row>
    <row r="104" ht="15.75" customHeight="1" outlineLevel="3">
      <c r="A104" s="30" t="s">
        <v>217</v>
      </c>
      <c r="B104" s="30">
        <v>4.0</v>
      </c>
      <c r="C104" s="31" t="s">
        <v>218</v>
      </c>
      <c r="D104" s="30" t="s">
        <v>27</v>
      </c>
      <c r="E104" s="30">
        <v>5.0</v>
      </c>
      <c r="F104" s="30">
        <v>24.0</v>
      </c>
      <c r="G104" s="32">
        <f t="shared" ref="G104:H104" si="122">G101</f>
        <v>46335</v>
      </c>
      <c r="H104" s="32">
        <f t="shared" si="122"/>
        <v>46335</v>
      </c>
      <c r="I104" s="33">
        <v>2.17</v>
      </c>
      <c r="J104" s="38" t="s">
        <v>75</v>
      </c>
      <c r="K104" s="35">
        <f t="shared" si="120"/>
        <v>0</v>
      </c>
      <c r="L104" s="36">
        <f t="shared" si="121"/>
        <v>0</v>
      </c>
      <c r="M104" s="37"/>
      <c r="N104" s="51" t="str">
        <f>HYPERLINK("https://www.youtube.com/results?search_query=prompt+injection+explained","YouTube: prompt injection explained")</f>
        <v>YouTube: prompt injection explained</v>
      </c>
      <c r="O104" s="51" t="str">
        <f>HYPERLINK("https://owasp.org/www-project-top-10-for-large-language-model-applications/","OWASP Top 10 for LLM apps")</f>
        <v>OWASP Top 10 for LLM apps</v>
      </c>
    </row>
    <row r="105" ht="15.75" customHeight="1" outlineLevel="2">
      <c r="A105" s="22" t="s">
        <v>219</v>
      </c>
      <c r="B105" s="23">
        <v>3.0</v>
      </c>
      <c r="C105" s="24" t="s">
        <v>220</v>
      </c>
      <c r="D105" s="23" t="s">
        <v>24</v>
      </c>
      <c r="E105" s="23">
        <v>5.0</v>
      </c>
      <c r="F105" s="23">
        <v>25.0</v>
      </c>
      <c r="G105" s="25">
        <f>WORKDAY($C$2,F105-1)</f>
        <v>46336</v>
      </c>
      <c r="H105" s="25">
        <f>G105</f>
        <v>46336</v>
      </c>
      <c r="I105" s="26">
        <f>SUM(I106:I108)</f>
        <v>6.51</v>
      </c>
      <c r="J105" s="23" t="str">
        <f>IF(COUNTIF(J106:J108,"Done")+COUNTIF(J106:J108,"Cut")=3,"Done",IF(COUNTIF(J106:J108,"Not started")=3,"Not started","In progress"))</f>
        <v>Not started</v>
      </c>
      <c r="K105" s="27">
        <f>IF(I105=0,0,L105/I105)</f>
        <v>0</v>
      </c>
      <c r="L105" s="28">
        <f>SUM(L106:L108)</f>
        <v>0</v>
      </c>
      <c r="M105" s="29"/>
      <c r="N105" s="29"/>
      <c r="O105" s="29"/>
    </row>
    <row r="106" ht="15.75" customHeight="1" outlineLevel="3">
      <c r="A106" s="30" t="s">
        <v>221</v>
      </c>
      <c r="B106" s="30">
        <v>4.0</v>
      </c>
      <c r="C106" s="31" t="s">
        <v>222</v>
      </c>
      <c r="D106" s="30" t="s">
        <v>27</v>
      </c>
      <c r="E106" s="30">
        <v>5.0</v>
      </c>
      <c r="F106" s="30">
        <v>25.0</v>
      </c>
      <c r="G106" s="32">
        <f t="shared" ref="G106:H106" si="123">G105</f>
        <v>46336</v>
      </c>
      <c r="H106" s="32">
        <f t="shared" si="123"/>
        <v>46336</v>
      </c>
      <c r="I106" s="33">
        <v>2.17</v>
      </c>
      <c r="J106" s="38" t="s">
        <v>75</v>
      </c>
      <c r="K106" s="35">
        <f t="shared" ref="K106:K108" si="125">IF(J106="Done",1,IF(J106="In progress",0.5,0))</f>
        <v>0</v>
      </c>
      <c r="L106" s="36">
        <f t="shared" ref="L106:L108" si="126">I106*K106</f>
        <v>0</v>
      </c>
      <c r="M106" s="37"/>
      <c r="N106" s="51" t="str">
        <f>HYPERLINK("https://www.youtube.com/results?search_query=human+in+the+loop+AI+UX","YouTube: human in the loop AI UX")</f>
        <v>YouTube: human in the loop AI UX</v>
      </c>
      <c r="O106" s="51" t="str">
        <f>HYPERLINK("https://inertiajs.com/forms","Inertia docs: Forms")</f>
        <v>Inertia docs: Forms</v>
      </c>
    </row>
    <row r="107" ht="15.75" customHeight="1" outlineLevel="3">
      <c r="A107" s="30" t="s">
        <v>223</v>
      </c>
      <c r="B107" s="30">
        <v>4.0</v>
      </c>
      <c r="C107" s="31" t="s">
        <v>224</v>
      </c>
      <c r="D107" s="30" t="s">
        <v>27</v>
      </c>
      <c r="E107" s="30">
        <v>5.0</v>
      </c>
      <c r="F107" s="30">
        <v>25.0</v>
      </c>
      <c r="G107" s="32">
        <f t="shared" ref="G107:H107" si="124">G105</f>
        <v>46336</v>
      </c>
      <c r="H107" s="32">
        <f t="shared" si="124"/>
        <v>46336</v>
      </c>
      <c r="I107" s="33">
        <v>2.17</v>
      </c>
      <c r="J107" s="38" t="s">
        <v>75</v>
      </c>
      <c r="K107" s="35">
        <f t="shared" si="125"/>
        <v>0</v>
      </c>
      <c r="L107" s="36">
        <f t="shared" si="126"/>
        <v>0</v>
      </c>
      <c r="M107" s="37"/>
      <c r="N107" s="51" t="str">
        <f>HYPERLINK("https://www.youtube.com/results?search_query=laravel+http+fake+testing","YouTube: laravel http fake testing")</f>
        <v>YouTube: laravel http fake testing</v>
      </c>
      <c r="O107" s="51" t="str">
        <f>HYPERLINK("https://laravel.com/docs/http-client#testing","Laravel docs: HTTP client testing")</f>
        <v>Laravel docs: HTTP client testing</v>
      </c>
    </row>
    <row r="108" ht="15.75" customHeight="1" outlineLevel="3">
      <c r="A108" s="30" t="s">
        <v>225</v>
      </c>
      <c r="B108" s="30">
        <v>4.0</v>
      </c>
      <c r="C108" s="31" t="s">
        <v>147</v>
      </c>
      <c r="D108" s="30" t="s">
        <v>27</v>
      </c>
      <c r="E108" s="30">
        <v>5.0</v>
      </c>
      <c r="F108" s="30">
        <v>25.0</v>
      </c>
      <c r="G108" s="32">
        <f t="shared" ref="G108:H108" si="127">G105</f>
        <v>46336</v>
      </c>
      <c r="H108" s="32">
        <f t="shared" si="127"/>
        <v>46336</v>
      </c>
      <c r="I108" s="33">
        <v>2.17</v>
      </c>
      <c r="J108" s="38" t="s">
        <v>75</v>
      </c>
      <c r="K108" s="35">
        <f t="shared" si="125"/>
        <v>0</v>
      </c>
      <c r="L108" s="36">
        <f t="shared" si="126"/>
        <v>0</v>
      </c>
      <c r="M108" s="37"/>
      <c r="N108" s="37"/>
      <c r="O108" s="37"/>
    </row>
    <row r="109" ht="15.75" customHeight="1" outlineLevel="1">
      <c r="A109" s="14" t="s">
        <v>226</v>
      </c>
      <c r="B109" s="15">
        <v>2.0</v>
      </c>
      <c r="C109" s="16" t="s">
        <v>227</v>
      </c>
      <c r="D109" s="15" t="s">
        <v>21</v>
      </c>
      <c r="E109" s="15">
        <v>6.0</v>
      </c>
      <c r="F109" s="15"/>
      <c r="G109" s="17">
        <f>G110</f>
        <v>46337</v>
      </c>
      <c r="H109" s="17">
        <f>H123</f>
        <v>46343</v>
      </c>
      <c r="I109" s="18">
        <f>SUM(I110,I113,I116,I119,I123)</f>
        <v>32.52</v>
      </c>
      <c r="J109" s="15"/>
      <c r="K109" s="19">
        <f t="shared" ref="K109:K110" si="128">IF(I109=0,0,L109/I109)</f>
        <v>0</v>
      </c>
      <c r="L109" s="20">
        <f>SUM(L110,L113,L116,L119,L123)</f>
        <v>0</v>
      </c>
      <c r="M109" s="21"/>
      <c r="N109" s="21"/>
      <c r="O109" s="21"/>
    </row>
    <row r="110" ht="15.75" customHeight="1" outlineLevel="2">
      <c r="A110" s="22" t="s">
        <v>228</v>
      </c>
      <c r="B110" s="23">
        <v>3.0</v>
      </c>
      <c r="C110" s="24" t="s">
        <v>229</v>
      </c>
      <c r="D110" s="23" t="s">
        <v>24</v>
      </c>
      <c r="E110" s="23">
        <v>6.0</v>
      </c>
      <c r="F110" s="23">
        <v>26.0</v>
      </c>
      <c r="G110" s="25">
        <f>WORKDAY($C$2,F110-1)</f>
        <v>46337</v>
      </c>
      <c r="H110" s="25">
        <f>G110</f>
        <v>46337</v>
      </c>
      <c r="I110" s="26">
        <f>SUM(I111:I112)</f>
        <v>6.5</v>
      </c>
      <c r="J110" s="23" t="str">
        <f>IF(COUNTIF(J111:J112,"Done")+COUNTIF(J111:J112,"Cut")=2,"Done",IF(COUNTIF(J111:J112,"Not started")=2,"Not started","In progress"))</f>
        <v>Not started</v>
      </c>
      <c r="K110" s="27">
        <f t="shared" si="128"/>
        <v>0</v>
      </c>
      <c r="L110" s="28">
        <f>SUM(L111:L112)</f>
        <v>0</v>
      </c>
      <c r="M110" s="29"/>
      <c r="N110" s="29"/>
      <c r="O110" s="29"/>
    </row>
    <row r="111" ht="15.75" customHeight="1" outlineLevel="3">
      <c r="A111" s="30" t="s">
        <v>230</v>
      </c>
      <c r="B111" s="30">
        <v>4.0</v>
      </c>
      <c r="C111" s="31" t="s">
        <v>231</v>
      </c>
      <c r="D111" s="30" t="s">
        <v>27</v>
      </c>
      <c r="E111" s="30">
        <v>6.0</v>
      </c>
      <c r="F111" s="30">
        <v>26.0</v>
      </c>
      <c r="G111" s="32">
        <f t="shared" ref="G111:H111" si="129">G110</f>
        <v>46337</v>
      </c>
      <c r="H111" s="32">
        <f t="shared" si="129"/>
        <v>46337</v>
      </c>
      <c r="I111" s="33">
        <v>3.25</v>
      </c>
      <c r="J111" s="38" t="s">
        <v>75</v>
      </c>
      <c r="K111" s="35">
        <f t="shared" ref="K111:K112" si="131">IF(J111="Done",1,IF(J111="In progress",0.5,0))</f>
        <v>0</v>
      </c>
      <c r="L111" s="36">
        <f t="shared" ref="L111:L112" si="132">I111*K111</f>
        <v>0</v>
      </c>
      <c r="M111" s="37"/>
      <c r="N111" s="51" t="str">
        <f>HYPERLINK("https://www.youtube.com/results?search_query=llm+evals+explained","YouTube: llm evals explained")</f>
        <v>YouTube: llm evals explained</v>
      </c>
      <c r="O111" s="51" t="str">
        <f>HYPERLINK("https://www.google.com/search?q=how+to+build+an+llm+evaluation+dataset","Search: how to build an llm evaluation dataset")</f>
        <v>Search: how to build an llm evaluation dataset</v>
      </c>
    </row>
    <row r="112" ht="15.75" customHeight="1" outlineLevel="3">
      <c r="A112" s="30" t="s">
        <v>232</v>
      </c>
      <c r="B112" s="30">
        <v>4.0</v>
      </c>
      <c r="C112" s="31" t="s">
        <v>233</v>
      </c>
      <c r="D112" s="30" t="s">
        <v>27</v>
      </c>
      <c r="E112" s="30">
        <v>6.0</v>
      </c>
      <c r="F112" s="30">
        <v>26.0</v>
      </c>
      <c r="G112" s="32">
        <f t="shared" ref="G112:H112" si="130">G110</f>
        <v>46337</v>
      </c>
      <c r="H112" s="32">
        <f t="shared" si="130"/>
        <v>46337</v>
      </c>
      <c r="I112" s="33">
        <v>3.25</v>
      </c>
      <c r="J112" s="38" t="s">
        <v>75</v>
      </c>
      <c r="K112" s="35">
        <f t="shared" si="131"/>
        <v>0</v>
      </c>
      <c r="L112" s="36">
        <f t="shared" si="132"/>
        <v>0</v>
      </c>
      <c r="M112" s="37"/>
      <c r="N112" s="51" t="str">
        <f>HYPERLINK("https://www.youtube.com/results?search_query=confusion+matrix+explained","YouTube: confusion matrix explained")</f>
        <v>YouTube: confusion matrix explained</v>
      </c>
      <c r="O112" s="51" t="str">
        <f>HYPERLINK("https://scikit-learn.org/stable/modules/model_evaluation.html#confusion-matrix","scikit-learn: Confusion matrix")</f>
        <v>scikit-learn: Confusion matrix</v>
      </c>
    </row>
    <row r="113" ht="15.75" customHeight="1" outlineLevel="2">
      <c r="A113" s="22" t="s">
        <v>234</v>
      </c>
      <c r="B113" s="23">
        <v>3.0</v>
      </c>
      <c r="C113" s="24" t="s">
        <v>235</v>
      </c>
      <c r="D113" s="23" t="s">
        <v>24</v>
      </c>
      <c r="E113" s="23">
        <v>6.0</v>
      </c>
      <c r="F113" s="23">
        <v>27.0</v>
      </c>
      <c r="G113" s="25">
        <f>WORKDAY($C$2,F113-1)</f>
        <v>46338</v>
      </c>
      <c r="H113" s="25">
        <f>G113</f>
        <v>46338</v>
      </c>
      <c r="I113" s="26">
        <f>SUM(I114:I115)</f>
        <v>6.5</v>
      </c>
      <c r="J113" s="23" t="str">
        <f>IF(COUNTIF(J114:J115,"Done")+COUNTIF(J114:J115,"Cut")=2,"Done",IF(COUNTIF(J114:J115,"Not started")=2,"Not started","In progress"))</f>
        <v>Not started</v>
      </c>
      <c r="K113" s="27">
        <f>IF(I113=0,0,L113/I113)</f>
        <v>0</v>
      </c>
      <c r="L113" s="28">
        <f>SUM(L114:L115)</f>
        <v>0</v>
      </c>
      <c r="M113" s="29"/>
      <c r="N113" s="29"/>
      <c r="O113" s="29"/>
    </row>
    <row r="114" ht="15.75" customHeight="1" outlineLevel="3">
      <c r="A114" s="30" t="s">
        <v>236</v>
      </c>
      <c r="B114" s="30">
        <v>4.0</v>
      </c>
      <c r="C114" s="31" t="s">
        <v>237</v>
      </c>
      <c r="D114" s="30" t="s">
        <v>27</v>
      </c>
      <c r="E114" s="30">
        <v>6.0</v>
      </c>
      <c r="F114" s="30">
        <v>27.0</v>
      </c>
      <c r="G114" s="32">
        <f t="shared" ref="G114:H114" si="133">G113</f>
        <v>46338</v>
      </c>
      <c r="H114" s="32">
        <f t="shared" si="133"/>
        <v>46338</v>
      </c>
      <c r="I114" s="33">
        <v>3.25</v>
      </c>
      <c r="J114" s="38" t="s">
        <v>75</v>
      </c>
      <c r="K114" s="35">
        <f t="shared" ref="K114:K115" si="135">IF(J114="Done",1,IF(J114="In progress",0.5,0))</f>
        <v>0</v>
      </c>
      <c r="L114" s="36">
        <f t="shared" ref="L114:L115" si="136">I114*K114</f>
        <v>0</v>
      </c>
      <c r="M114" s="37"/>
      <c r="N114" s="51" t="str">
        <f>HYPERLINK("https://www.youtube.com/results?search_query=prompt+engineering+tutorial","YouTube: prompt engineering tutorial")</f>
        <v>YouTube: prompt engineering tutorial</v>
      </c>
      <c r="O114" s="51" t="str">
        <f>HYPERLINK("https://www.google.com/search?q=prompt+engineering+guide","Search: prompt engineering guide")</f>
        <v>Search: prompt engineering guide</v>
      </c>
    </row>
    <row r="115" ht="15.75" customHeight="1" outlineLevel="3">
      <c r="A115" s="30" t="s">
        <v>238</v>
      </c>
      <c r="B115" s="30">
        <v>4.0</v>
      </c>
      <c r="C115" s="31" t="s">
        <v>239</v>
      </c>
      <c r="D115" s="30" t="s">
        <v>27</v>
      </c>
      <c r="E115" s="30">
        <v>6.0</v>
      </c>
      <c r="F115" s="30">
        <v>27.0</v>
      </c>
      <c r="G115" s="32">
        <f t="shared" ref="G115:H115" si="134">G113</f>
        <v>46338</v>
      </c>
      <c r="H115" s="32">
        <f t="shared" si="134"/>
        <v>46338</v>
      </c>
      <c r="I115" s="33">
        <v>3.25</v>
      </c>
      <c r="J115" s="38" t="s">
        <v>75</v>
      </c>
      <c r="K115" s="35">
        <f t="shared" si="135"/>
        <v>0</v>
      </c>
      <c r="L115" s="36">
        <f t="shared" si="136"/>
        <v>0</v>
      </c>
      <c r="M115" s="37"/>
      <c r="N115" s="51" t="str">
        <f>HYPERLINK("https://www.youtube.com/results?search_query=llm+observability+tokens+latency","YouTube: llm observability tokens latency")</f>
        <v>YouTube: llm observability tokens latency</v>
      </c>
      <c r="O115" s="51" t="str">
        <f>HYPERLINK("https://laravel.com/docs/logging","Laravel docs: Logging")</f>
        <v>Laravel docs: Logging</v>
      </c>
    </row>
    <row r="116" ht="15.75" customHeight="1" outlineLevel="2">
      <c r="A116" s="22" t="s">
        <v>240</v>
      </c>
      <c r="B116" s="23">
        <v>3.0</v>
      </c>
      <c r="C116" s="24" t="s">
        <v>241</v>
      </c>
      <c r="D116" s="23" t="s">
        <v>24</v>
      </c>
      <c r="E116" s="23">
        <v>6.0</v>
      </c>
      <c r="F116" s="23">
        <v>28.0</v>
      </c>
      <c r="G116" s="25">
        <f>WORKDAY($C$2,F116-1)</f>
        <v>46339</v>
      </c>
      <c r="H116" s="25">
        <f>G116</f>
        <v>46339</v>
      </c>
      <c r="I116" s="26">
        <f>SUM(I117:I118)</f>
        <v>6.5</v>
      </c>
      <c r="J116" s="23" t="str">
        <f>IF(COUNTIF(J117:J118,"Done")+COUNTIF(J117:J118,"Cut")=2,"Done",IF(COUNTIF(J117:J118,"Not started")=2,"Not started","In progress"))</f>
        <v>Not started</v>
      </c>
      <c r="K116" s="27">
        <f>IF(I116=0,0,L116/I116)</f>
        <v>0</v>
      </c>
      <c r="L116" s="28">
        <f>SUM(L117:L118)</f>
        <v>0</v>
      </c>
      <c r="M116" s="29"/>
      <c r="N116" s="29"/>
      <c r="O116" s="29"/>
    </row>
    <row r="117" ht="15.75" customHeight="1" outlineLevel="3">
      <c r="A117" s="30" t="s">
        <v>242</v>
      </c>
      <c r="B117" s="30">
        <v>4.0</v>
      </c>
      <c r="C117" s="31" t="s">
        <v>243</v>
      </c>
      <c r="D117" s="30" t="s">
        <v>27</v>
      </c>
      <c r="E117" s="30">
        <v>6.0</v>
      </c>
      <c r="F117" s="30">
        <v>28.0</v>
      </c>
      <c r="G117" s="32">
        <f t="shared" ref="G117:H117" si="137">G116</f>
        <v>46339</v>
      </c>
      <c r="H117" s="32">
        <f t="shared" si="137"/>
        <v>46339</v>
      </c>
      <c r="I117" s="33">
        <v>3.25</v>
      </c>
      <c r="J117" s="38" t="s">
        <v>75</v>
      </c>
      <c r="K117" s="35">
        <f t="shared" ref="K117:K118" si="139">IF(J117="Done",1,IF(J117="In progress",0.5,0))</f>
        <v>0</v>
      </c>
      <c r="L117" s="36">
        <f t="shared" ref="L117:L118" si="140">I117*K117</f>
        <v>0</v>
      </c>
      <c r="M117" s="37"/>
      <c r="N117" s="51" t="str">
        <f>HYPERLINK("https://www.youtube.com/results?search_query=circuit+breaker+pattern+explained","YouTube: circuit breaker pattern explained")</f>
        <v>YouTube: circuit breaker pattern explained</v>
      </c>
      <c r="O117" s="51" t="str">
        <f>HYPERLINK("https://www.google.com/search?q=graceful+degradation+pattern","Search: graceful degradation pattern")</f>
        <v>Search: graceful degradation pattern</v>
      </c>
    </row>
    <row r="118" ht="15.75" customHeight="1" outlineLevel="3">
      <c r="A118" s="30" t="s">
        <v>244</v>
      </c>
      <c r="B118" s="30">
        <v>4.0</v>
      </c>
      <c r="C118" s="31" t="s">
        <v>245</v>
      </c>
      <c r="D118" s="30" t="s">
        <v>27</v>
      </c>
      <c r="E118" s="30">
        <v>6.0</v>
      </c>
      <c r="F118" s="30">
        <v>28.0</v>
      </c>
      <c r="G118" s="32">
        <f t="shared" ref="G118:H118" si="138">G116</f>
        <v>46339</v>
      </c>
      <c r="H118" s="32">
        <f t="shared" si="138"/>
        <v>46339</v>
      </c>
      <c r="I118" s="33">
        <v>3.25</v>
      </c>
      <c r="J118" s="38" t="s">
        <v>75</v>
      </c>
      <c r="K118" s="35">
        <f t="shared" si="139"/>
        <v>0</v>
      </c>
      <c r="L118" s="36">
        <f t="shared" si="140"/>
        <v>0</v>
      </c>
      <c r="M118" s="37"/>
      <c r="N118" s="51" t="str">
        <f>HYPERLINK("https://www.youtube.com/results?search_query=laravel+failed+jobs+retry+backoff","YouTube: laravel failed jobs retry backoff")</f>
        <v>YouTube: laravel failed jobs retry backoff</v>
      </c>
      <c r="O118" s="51" t="str">
        <f>HYPERLINK("https://laravel.com/docs/queues#dealing-with-failed-jobs","Laravel docs: Failed jobs")</f>
        <v>Laravel docs: Failed jobs</v>
      </c>
    </row>
    <row r="119" ht="15.75" customHeight="1" outlineLevel="2">
      <c r="A119" s="22" t="s">
        <v>246</v>
      </c>
      <c r="B119" s="23">
        <v>3.0</v>
      </c>
      <c r="C119" s="24" t="s">
        <v>247</v>
      </c>
      <c r="D119" s="23" t="s">
        <v>24</v>
      </c>
      <c r="E119" s="23">
        <v>6.0</v>
      </c>
      <c r="F119" s="23">
        <v>29.0</v>
      </c>
      <c r="G119" s="25">
        <f>WORKDAY($C$2,F119-1)</f>
        <v>46342</v>
      </c>
      <c r="H119" s="25">
        <f>G119</f>
        <v>46342</v>
      </c>
      <c r="I119" s="26">
        <f>SUM(I120:I122)</f>
        <v>6.51</v>
      </c>
      <c r="J119" s="23" t="str">
        <f>IF(COUNTIF(J120:J122,"Done")+COUNTIF(J120:J122,"Cut")=3,"Done",IF(COUNTIF(J120:J122,"Not started")=3,"Not started","In progress"))</f>
        <v>Not started</v>
      </c>
      <c r="K119" s="27">
        <f>IF(I119=0,0,L119/I119)</f>
        <v>0</v>
      </c>
      <c r="L119" s="28">
        <f>SUM(L120:L122)</f>
        <v>0</v>
      </c>
      <c r="M119" s="29"/>
      <c r="N119" s="29"/>
      <c r="O119" s="29"/>
    </row>
    <row r="120" ht="15.75" customHeight="1" outlineLevel="3">
      <c r="A120" s="30" t="s">
        <v>248</v>
      </c>
      <c r="B120" s="30">
        <v>4.0</v>
      </c>
      <c r="C120" s="31" t="s">
        <v>249</v>
      </c>
      <c r="D120" s="30" t="s">
        <v>27</v>
      </c>
      <c r="E120" s="30">
        <v>6.0</v>
      </c>
      <c r="F120" s="30">
        <v>29.0</v>
      </c>
      <c r="G120" s="32">
        <f t="shared" ref="G120:H120" si="141">G119</f>
        <v>46342</v>
      </c>
      <c r="H120" s="32">
        <f t="shared" si="141"/>
        <v>46342</v>
      </c>
      <c r="I120" s="33">
        <v>2.17</v>
      </c>
      <c r="J120" s="38" t="s">
        <v>75</v>
      </c>
      <c r="K120" s="35">
        <f t="shared" ref="K120:K122" si="143">IF(J120="Done",1,IF(J120="In progress",0.5,0))</f>
        <v>0</v>
      </c>
      <c r="L120" s="36">
        <f t="shared" ref="L120:L122" si="144">I120*K120</f>
        <v>0</v>
      </c>
      <c r="M120" s="37"/>
      <c r="N120" s="51" t="str">
        <f>HYPERLINK("https://www.youtube.com/results?search_query=correlation+id+logging+microservices","YouTube: correlation id logging microservices")</f>
        <v>YouTube: correlation id logging microservices</v>
      </c>
      <c r="O120" s="51" t="str">
        <f>HYPERLINK("https://laravel.com/docs/context","Laravel docs: Context")</f>
        <v>Laravel docs: Context</v>
      </c>
    </row>
    <row r="121" ht="15.75" customHeight="1" outlineLevel="3">
      <c r="A121" s="30" t="s">
        <v>250</v>
      </c>
      <c r="B121" s="30">
        <v>4.0</v>
      </c>
      <c r="C121" s="31" t="s">
        <v>251</v>
      </c>
      <c r="D121" s="30" t="s">
        <v>27</v>
      </c>
      <c r="E121" s="30">
        <v>6.0</v>
      </c>
      <c r="F121" s="30">
        <v>29.0</v>
      </c>
      <c r="G121" s="32">
        <f t="shared" ref="G121:H121" si="142">G119</f>
        <v>46342</v>
      </c>
      <c r="H121" s="32">
        <f t="shared" si="142"/>
        <v>46342</v>
      </c>
      <c r="I121" s="33">
        <v>2.17</v>
      </c>
      <c r="J121" s="38" t="s">
        <v>75</v>
      </c>
      <c r="K121" s="35">
        <f t="shared" si="143"/>
        <v>0</v>
      </c>
      <c r="L121" s="36">
        <f t="shared" si="144"/>
        <v>0</v>
      </c>
      <c r="M121" s="37"/>
      <c r="N121" s="51" t="str">
        <f>HYPERLINK("https://www.youtube.com/results?search_query=laravel+pulse","YouTube: laravel pulse")</f>
        <v>YouTube: laravel pulse</v>
      </c>
      <c r="O121" s="51" t="str">
        <f>HYPERLINK("https://laravel.com/docs/pulse","Laravel docs: Pulse")</f>
        <v>Laravel docs: Pulse</v>
      </c>
    </row>
    <row r="122" ht="15.75" customHeight="1" outlineLevel="3">
      <c r="A122" s="30" t="s">
        <v>252</v>
      </c>
      <c r="B122" s="30">
        <v>4.0</v>
      </c>
      <c r="C122" s="31" t="s">
        <v>253</v>
      </c>
      <c r="D122" s="30" t="s">
        <v>27</v>
      </c>
      <c r="E122" s="30">
        <v>6.0</v>
      </c>
      <c r="F122" s="30">
        <v>29.0</v>
      </c>
      <c r="G122" s="32">
        <f t="shared" ref="G122:H122" si="145">G119</f>
        <v>46342</v>
      </c>
      <c r="H122" s="32">
        <f t="shared" si="145"/>
        <v>46342</v>
      </c>
      <c r="I122" s="33">
        <v>2.17</v>
      </c>
      <c r="J122" s="38" t="s">
        <v>75</v>
      </c>
      <c r="K122" s="35">
        <f t="shared" si="143"/>
        <v>0</v>
      </c>
      <c r="L122" s="36">
        <f t="shared" si="144"/>
        <v>0</v>
      </c>
      <c r="M122" s="37"/>
      <c r="N122" s="51" t="str">
        <f>HYPERLINK("https://www.youtube.com/results?search_query=owasp+top+10+explained","YouTube: owasp top 10 explained")</f>
        <v>YouTube: owasp top 10 explained</v>
      </c>
      <c r="O122" s="51" t="str">
        <f>HYPERLINK("https://owasp.org/www-project-top-ten/","OWASP Top 10")</f>
        <v>OWASP Top 10</v>
      </c>
    </row>
    <row r="123" ht="15.75" customHeight="1" outlineLevel="2">
      <c r="A123" s="22" t="s">
        <v>254</v>
      </c>
      <c r="B123" s="23">
        <v>3.0</v>
      </c>
      <c r="C123" s="24" t="s">
        <v>255</v>
      </c>
      <c r="D123" s="23" t="s">
        <v>24</v>
      </c>
      <c r="E123" s="23">
        <v>6.0</v>
      </c>
      <c r="F123" s="23">
        <v>30.0</v>
      </c>
      <c r="G123" s="25">
        <f>WORKDAY($C$2,F123-1)</f>
        <v>46343</v>
      </c>
      <c r="H123" s="25">
        <f>G123</f>
        <v>46343</v>
      </c>
      <c r="I123" s="26">
        <f>SUM(I124:I126)</f>
        <v>6.51</v>
      </c>
      <c r="J123" s="23" t="str">
        <f>IF(COUNTIF(J124:J126,"Done")+COUNTIF(J124:J126,"Cut")=3,"Done",IF(COUNTIF(J124:J126,"Not started")=3,"Not started","In progress"))</f>
        <v>Not started</v>
      </c>
      <c r="K123" s="27">
        <f>IF(I123=0,0,L123/I123)</f>
        <v>0</v>
      </c>
      <c r="L123" s="28">
        <f>SUM(L124:L126)</f>
        <v>0</v>
      </c>
      <c r="M123" s="29"/>
      <c r="N123" s="29"/>
      <c r="O123" s="29"/>
    </row>
    <row r="124" ht="15.75" customHeight="1" outlineLevel="3">
      <c r="A124" s="30" t="s">
        <v>256</v>
      </c>
      <c r="B124" s="30">
        <v>4.0</v>
      </c>
      <c r="C124" s="31" t="s">
        <v>257</v>
      </c>
      <c r="D124" s="30" t="s">
        <v>27</v>
      </c>
      <c r="E124" s="30">
        <v>6.0</v>
      </c>
      <c r="F124" s="30">
        <v>30.0</v>
      </c>
      <c r="G124" s="32">
        <f t="shared" ref="G124:H124" si="146">G123</f>
        <v>46343</v>
      </c>
      <c r="H124" s="32">
        <f t="shared" si="146"/>
        <v>46343</v>
      </c>
      <c r="I124" s="33">
        <v>2.17</v>
      </c>
      <c r="J124" s="38" t="s">
        <v>75</v>
      </c>
      <c r="K124" s="35">
        <f t="shared" ref="K124:K126" si="148">IF(J124="Done",1,IF(J124="In progress",0.5,0))</f>
        <v>0</v>
      </c>
      <c r="L124" s="36">
        <f t="shared" ref="L124:L126" si="149">I124*K124</f>
        <v>0</v>
      </c>
      <c r="M124" s="37"/>
      <c r="N124" s="51" t="str">
        <f>HYPERLINK("https://www.youtube.com/results?search_query=k6+load+testing+tutorial","YouTube: k6 load testing tutorial")</f>
        <v>YouTube: k6 load testing tutorial</v>
      </c>
      <c r="O124" s="51" t="str">
        <f>HYPERLINK("https://grafana.com/docs/k6/latest/","Grafana k6 docs")</f>
        <v>Grafana k6 docs</v>
      </c>
    </row>
    <row r="125" ht="15.75" customHeight="1" outlineLevel="3">
      <c r="A125" s="30" t="s">
        <v>258</v>
      </c>
      <c r="B125" s="30">
        <v>4.0</v>
      </c>
      <c r="C125" s="31" t="s">
        <v>259</v>
      </c>
      <c r="D125" s="30" t="s">
        <v>27</v>
      </c>
      <c r="E125" s="30">
        <v>6.0</v>
      </c>
      <c r="F125" s="30">
        <v>30.0</v>
      </c>
      <c r="G125" s="32">
        <f t="shared" ref="G125:H125" si="147">G123</f>
        <v>46343</v>
      </c>
      <c r="H125" s="32">
        <f t="shared" si="147"/>
        <v>46343</v>
      </c>
      <c r="I125" s="33">
        <v>2.17</v>
      </c>
      <c r="J125" s="38" t="s">
        <v>75</v>
      </c>
      <c r="K125" s="35">
        <f t="shared" si="148"/>
        <v>0</v>
      </c>
      <c r="L125" s="36">
        <f t="shared" si="149"/>
        <v>0</v>
      </c>
      <c r="M125" s="37"/>
      <c r="N125" s="51" t="str">
        <f>HYPERLINK("https://www.youtube.com/results?search_query=postgres+explain+analyze","YouTube: postgres explain analyze")</f>
        <v>YouTube: postgres explain analyze</v>
      </c>
      <c r="O125" s="51" t="str">
        <f>HYPERLINK("https://www.postgresql.org/docs/current/using-explain.html","PostgreSQL: Using EXPLAIN")</f>
        <v>PostgreSQL: Using EXPLAIN</v>
      </c>
    </row>
    <row r="126" ht="15.75" customHeight="1" outlineLevel="3">
      <c r="A126" s="30" t="s">
        <v>260</v>
      </c>
      <c r="B126" s="30">
        <v>4.0</v>
      </c>
      <c r="C126" s="31" t="s">
        <v>147</v>
      </c>
      <c r="D126" s="30" t="s">
        <v>27</v>
      </c>
      <c r="E126" s="30">
        <v>6.0</v>
      </c>
      <c r="F126" s="30">
        <v>30.0</v>
      </c>
      <c r="G126" s="32">
        <f t="shared" ref="G126:H126" si="150">G123</f>
        <v>46343</v>
      </c>
      <c r="H126" s="32">
        <f t="shared" si="150"/>
        <v>46343</v>
      </c>
      <c r="I126" s="33">
        <v>2.17</v>
      </c>
      <c r="J126" s="38" t="s">
        <v>75</v>
      </c>
      <c r="K126" s="35">
        <f t="shared" si="148"/>
        <v>0</v>
      </c>
      <c r="L126" s="36">
        <f t="shared" si="149"/>
        <v>0</v>
      </c>
      <c r="M126" s="37"/>
      <c r="N126" s="37"/>
      <c r="O126" s="37"/>
    </row>
    <row r="127" ht="15.75" customHeight="1" outlineLevel="1">
      <c r="A127" s="14" t="s">
        <v>261</v>
      </c>
      <c r="B127" s="15">
        <v>2.0</v>
      </c>
      <c r="C127" s="16" t="s">
        <v>262</v>
      </c>
      <c r="D127" s="15" t="s">
        <v>21</v>
      </c>
      <c r="E127" s="15">
        <v>7.0</v>
      </c>
      <c r="F127" s="15"/>
      <c r="G127" s="17">
        <f>G128</f>
        <v>46344</v>
      </c>
      <c r="H127" s="17">
        <f>H143</f>
        <v>46350</v>
      </c>
      <c r="I127" s="18">
        <f>SUM(I128,I132,I136,I139,I143)</f>
        <v>32.54</v>
      </c>
      <c r="J127" s="15"/>
      <c r="K127" s="19">
        <f t="shared" ref="K127:K128" si="151">IF(I127=0,0,L127/I127)</f>
        <v>0</v>
      </c>
      <c r="L127" s="20">
        <f>SUM(L128,L132,L136,L139,L143)</f>
        <v>0</v>
      </c>
      <c r="M127" s="21"/>
      <c r="N127" s="21"/>
      <c r="O127" s="21"/>
    </row>
    <row r="128" ht="15.75" customHeight="1" outlineLevel="2">
      <c r="A128" s="22" t="s">
        <v>263</v>
      </c>
      <c r="B128" s="23">
        <v>3.0</v>
      </c>
      <c r="C128" s="24" t="s">
        <v>264</v>
      </c>
      <c r="D128" s="23" t="s">
        <v>24</v>
      </c>
      <c r="E128" s="23">
        <v>7.0</v>
      </c>
      <c r="F128" s="23">
        <v>31.0</v>
      </c>
      <c r="G128" s="25">
        <f>WORKDAY($C$2,F128-1)</f>
        <v>46344</v>
      </c>
      <c r="H128" s="25">
        <f>G128</f>
        <v>46344</v>
      </c>
      <c r="I128" s="26">
        <f>SUM(I129:I131)</f>
        <v>6.51</v>
      </c>
      <c r="J128" s="23" t="str">
        <f>IF(COUNTIF(J129:J131,"Done")+COUNTIF(J129:J131,"Cut")=3,"Done",IF(COUNTIF(J129:J131,"Not started")=3,"Not started","In progress"))</f>
        <v>Not started</v>
      </c>
      <c r="K128" s="27">
        <f t="shared" si="151"/>
        <v>0</v>
      </c>
      <c r="L128" s="28">
        <f>SUM(L129:L131)</f>
        <v>0</v>
      </c>
      <c r="M128" s="29"/>
      <c r="N128" s="29"/>
      <c r="O128" s="29"/>
    </row>
    <row r="129" ht="15.75" customHeight="1" outlineLevel="3">
      <c r="A129" s="30" t="s">
        <v>265</v>
      </c>
      <c r="B129" s="30">
        <v>4.0</v>
      </c>
      <c r="C129" s="31" t="s">
        <v>266</v>
      </c>
      <c r="D129" s="30" t="s">
        <v>27</v>
      </c>
      <c r="E129" s="30">
        <v>7.0</v>
      </c>
      <c r="F129" s="30">
        <v>31.0</v>
      </c>
      <c r="G129" s="32">
        <f t="shared" ref="G129:H129" si="152">G128</f>
        <v>46344</v>
      </c>
      <c r="H129" s="32">
        <f t="shared" si="152"/>
        <v>46344</v>
      </c>
      <c r="I129" s="33">
        <v>2.17</v>
      </c>
      <c r="J129" s="38" t="s">
        <v>75</v>
      </c>
      <c r="K129" s="35">
        <f t="shared" ref="K129:K131" si="154">IF(J129="Done",1,IF(J129="In progress",0.5,0))</f>
        <v>0</v>
      </c>
      <c r="L129" s="36">
        <f t="shared" ref="L129:L131" si="155">I129*K129</f>
        <v>0</v>
      </c>
      <c r="M129" s="37"/>
      <c r="N129" s="51" t="str">
        <f>HYPERLINK("https://www.youtube.com/results?search_query=aws+billing+alert+budget+setup","YouTube: aws billing alert budget setup")</f>
        <v>YouTube: aws billing alert budget setup</v>
      </c>
      <c r="O129" s="51" t="str">
        <f>HYPERLINK("https://aws.amazon.com/free/","AWS Free Tier")</f>
        <v>AWS Free Tier</v>
      </c>
    </row>
    <row r="130" ht="15.75" customHeight="1" outlineLevel="3">
      <c r="A130" s="30" t="s">
        <v>267</v>
      </c>
      <c r="B130" s="30">
        <v>4.0</v>
      </c>
      <c r="C130" s="31" t="s">
        <v>268</v>
      </c>
      <c r="D130" s="30" t="s">
        <v>27</v>
      </c>
      <c r="E130" s="30">
        <v>7.0</v>
      </c>
      <c r="F130" s="30">
        <v>31.0</v>
      </c>
      <c r="G130" s="32">
        <f t="shared" ref="G130:H130" si="153">G128</f>
        <v>46344</v>
      </c>
      <c r="H130" s="32">
        <f t="shared" si="153"/>
        <v>46344</v>
      </c>
      <c r="I130" s="33">
        <v>2.17</v>
      </c>
      <c r="J130" s="38" t="s">
        <v>75</v>
      </c>
      <c r="K130" s="35">
        <f t="shared" si="154"/>
        <v>0</v>
      </c>
      <c r="L130" s="36">
        <f t="shared" si="155"/>
        <v>0</v>
      </c>
      <c r="M130" s="37"/>
      <c r="N130" s="51" t="str">
        <f>HYPERLINK("https://www.youtube.com/results?search_query=aws+ec2+tutorial+security+groups+ssh","YouTube: aws ec2 tutorial security groups ssh")</f>
        <v>YouTube: aws ec2 tutorial security groups ssh</v>
      </c>
      <c r="O130" s="51" t="str">
        <f>HYPERLINK("https://docs.aws.amazon.com/ec2/","AWS EC2 docs")</f>
        <v>AWS EC2 docs</v>
      </c>
    </row>
    <row r="131" ht="15.75" customHeight="1" outlineLevel="3">
      <c r="A131" s="30" t="s">
        <v>269</v>
      </c>
      <c r="B131" s="30">
        <v>4.0</v>
      </c>
      <c r="C131" s="31" t="s">
        <v>270</v>
      </c>
      <c r="D131" s="30" t="s">
        <v>27</v>
      </c>
      <c r="E131" s="30">
        <v>7.0</v>
      </c>
      <c r="F131" s="30">
        <v>31.0</v>
      </c>
      <c r="G131" s="32">
        <f t="shared" ref="G131:H131" si="156">G128</f>
        <v>46344</v>
      </c>
      <c r="H131" s="32">
        <f t="shared" si="156"/>
        <v>46344</v>
      </c>
      <c r="I131" s="33">
        <v>2.17</v>
      </c>
      <c r="J131" s="38" t="s">
        <v>75</v>
      </c>
      <c r="K131" s="35">
        <f t="shared" si="154"/>
        <v>0</v>
      </c>
      <c r="L131" s="36">
        <f t="shared" si="155"/>
        <v>0</v>
      </c>
      <c r="M131" s="37"/>
      <c r="N131" s="51" t="str">
        <f>HYPERLINK("https://www.youtube.com/results?search_query=install+docker+on+ec2","YouTube: install docker on ec2")</f>
        <v>YouTube: install docker on ec2</v>
      </c>
      <c r="O131" s="51" t="str">
        <f>HYPERLINK("https://docs.docker.com/engine/install/ubuntu/","Docker: Install on Ubuntu")</f>
        <v>Docker: Install on Ubuntu</v>
      </c>
    </row>
    <row r="132" ht="15.75" customHeight="1" outlineLevel="2">
      <c r="A132" s="22" t="s">
        <v>271</v>
      </c>
      <c r="B132" s="23">
        <v>3.0</v>
      </c>
      <c r="C132" s="24" t="s">
        <v>272</v>
      </c>
      <c r="D132" s="23" t="s">
        <v>24</v>
      </c>
      <c r="E132" s="23">
        <v>7.0</v>
      </c>
      <c r="F132" s="23">
        <v>32.0</v>
      </c>
      <c r="G132" s="25">
        <f>WORKDAY($C$2,F132-1)</f>
        <v>46345</v>
      </c>
      <c r="H132" s="25">
        <f>G132</f>
        <v>46345</v>
      </c>
      <c r="I132" s="26">
        <f>SUM(I133:I135)</f>
        <v>6.51</v>
      </c>
      <c r="J132" s="23" t="str">
        <f>IF(COUNTIF(J133:J135,"Done")+COUNTIF(J133:J135,"Cut")=3,"Done",IF(COUNTIF(J133:J135,"Not started")=3,"Not started","In progress"))</f>
        <v>Not started</v>
      </c>
      <c r="K132" s="27">
        <f>IF(I132=0,0,L132/I132)</f>
        <v>0</v>
      </c>
      <c r="L132" s="28">
        <f>SUM(L133:L135)</f>
        <v>0</v>
      </c>
      <c r="M132" s="29"/>
      <c r="N132" s="29"/>
      <c r="O132" s="29"/>
    </row>
    <row r="133" ht="15.75" customHeight="1" outlineLevel="3">
      <c r="A133" s="30" t="s">
        <v>273</v>
      </c>
      <c r="B133" s="30">
        <v>4.0</v>
      </c>
      <c r="C133" s="31" t="s">
        <v>274</v>
      </c>
      <c r="D133" s="30" t="s">
        <v>27</v>
      </c>
      <c r="E133" s="30">
        <v>7.0</v>
      </c>
      <c r="F133" s="30">
        <v>32.0</v>
      </c>
      <c r="G133" s="32">
        <f t="shared" ref="G133:H133" si="157">G132</f>
        <v>46345</v>
      </c>
      <c r="H133" s="32">
        <f t="shared" si="157"/>
        <v>46345</v>
      </c>
      <c r="I133" s="33">
        <v>2.17</v>
      </c>
      <c r="J133" s="38" t="s">
        <v>75</v>
      </c>
      <c r="K133" s="35">
        <f t="shared" ref="K133:K135" si="159">IF(J133="Done",1,IF(J133="In progress",0.5,0))</f>
        <v>0</v>
      </c>
      <c r="L133" s="36">
        <f t="shared" ref="L133:L135" si="160">I133*K133</f>
        <v>0</v>
      </c>
      <c r="M133" s="37"/>
      <c r="N133" s="51" t="str">
        <f>HYPERLINK("https://www.youtube.com/results?search_query=laravel+docker+production+deployment","YouTube: laravel docker production deployment")</f>
        <v>YouTube: laravel docker production deployment</v>
      </c>
      <c r="O133" s="51" t="str">
        <f>HYPERLINK("https://laravel.com/docs/deployment","Laravel docs: Deployment")</f>
        <v>Laravel docs: Deployment</v>
      </c>
    </row>
    <row r="134" ht="15.75" customHeight="1" outlineLevel="3">
      <c r="A134" s="30" t="s">
        <v>275</v>
      </c>
      <c r="B134" s="30">
        <v>4.0</v>
      </c>
      <c r="C134" s="31" t="s">
        <v>276</v>
      </c>
      <c r="D134" s="30" t="s">
        <v>27</v>
      </c>
      <c r="E134" s="30">
        <v>7.0</v>
      </c>
      <c r="F134" s="30">
        <v>32.0</v>
      </c>
      <c r="G134" s="32">
        <f t="shared" ref="G134:H134" si="158">G132</f>
        <v>46345</v>
      </c>
      <c r="H134" s="32">
        <f t="shared" si="158"/>
        <v>46345</v>
      </c>
      <c r="I134" s="33">
        <v>2.17</v>
      </c>
      <c r="J134" s="38" t="s">
        <v>75</v>
      </c>
      <c r="K134" s="35">
        <f t="shared" si="159"/>
        <v>0</v>
      </c>
      <c r="L134" s="36">
        <f t="shared" si="160"/>
        <v>0</v>
      </c>
      <c r="M134" s="37"/>
      <c r="N134" s="51" t="str">
        <f>HYPERLINK("https://www.youtube.com/results?search_query=secrets+management+env+files","YouTube: secrets management env files")</f>
        <v>YouTube: secrets management env files</v>
      </c>
      <c r="O134" s="51" t="str">
        <f>HYPERLINK("https://laravel.com/docs/configuration#environment-configuration","Laravel docs: Environment config")</f>
        <v>Laravel docs: Environment config</v>
      </c>
    </row>
    <row r="135" ht="15.75" customHeight="1" outlineLevel="3">
      <c r="A135" s="30" t="s">
        <v>277</v>
      </c>
      <c r="B135" s="30">
        <v>4.0</v>
      </c>
      <c r="C135" s="31" t="s">
        <v>278</v>
      </c>
      <c r="D135" s="30" t="s">
        <v>27</v>
      </c>
      <c r="E135" s="30">
        <v>7.0</v>
      </c>
      <c r="F135" s="30">
        <v>32.0</v>
      </c>
      <c r="G135" s="32">
        <f t="shared" ref="G135:H135" si="161">G132</f>
        <v>46345</v>
      </c>
      <c r="H135" s="32">
        <f t="shared" si="161"/>
        <v>46345</v>
      </c>
      <c r="I135" s="33">
        <v>2.17</v>
      </c>
      <c r="J135" s="38" t="s">
        <v>75</v>
      </c>
      <c r="K135" s="35">
        <f t="shared" si="159"/>
        <v>0</v>
      </c>
      <c r="L135" s="36">
        <f t="shared" si="160"/>
        <v>0</v>
      </c>
      <c r="M135" s="37"/>
      <c r="N135" s="51" t="str">
        <f>HYPERLINK("https://www.youtube.com/results?search_query=lets+encrypt+nginx+certbot+docker","YouTube: lets encrypt nginx certbot docker")</f>
        <v>YouTube: lets encrypt nginx certbot docker</v>
      </c>
      <c r="O135" s="51" t="str">
        <f>HYPERLINK("https://sslip.io/","sslip.io")</f>
        <v>sslip.io</v>
      </c>
    </row>
    <row r="136" ht="15.75" customHeight="1" outlineLevel="2">
      <c r="A136" s="22" t="s">
        <v>279</v>
      </c>
      <c r="B136" s="23">
        <v>3.0</v>
      </c>
      <c r="C136" s="24" t="s">
        <v>280</v>
      </c>
      <c r="D136" s="23" t="s">
        <v>24</v>
      </c>
      <c r="E136" s="23">
        <v>7.0</v>
      </c>
      <c r="F136" s="23">
        <v>33.0</v>
      </c>
      <c r="G136" s="25">
        <f>WORKDAY($C$2,F136-1)</f>
        <v>46346</v>
      </c>
      <c r="H136" s="25">
        <f>G136</f>
        <v>46346</v>
      </c>
      <c r="I136" s="26">
        <f>SUM(I137:I138)</f>
        <v>6.5</v>
      </c>
      <c r="J136" s="23" t="str">
        <f>IF(COUNTIF(J137:J138,"Done")+COUNTIF(J137:J138,"Cut")=2,"Done",IF(COUNTIF(J137:J138,"Not started")=2,"Not started","In progress"))</f>
        <v>Not started</v>
      </c>
      <c r="K136" s="27">
        <f>IF(I136=0,0,L136/I136)</f>
        <v>0</v>
      </c>
      <c r="L136" s="28">
        <f>SUM(L137:L138)</f>
        <v>0</v>
      </c>
      <c r="M136" s="29"/>
      <c r="N136" s="29"/>
      <c r="O136" s="29"/>
    </row>
    <row r="137" ht="15.75" customHeight="1" outlineLevel="3">
      <c r="A137" s="30" t="s">
        <v>281</v>
      </c>
      <c r="B137" s="30">
        <v>4.0</v>
      </c>
      <c r="C137" s="31" t="s">
        <v>282</v>
      </c>
      <c r="D137" s="30" t="s">
        <v>27</v>
      </c>
      <c r="E137" s="30">
        <v>7.0</v>
      </c>
      <c r="F137" s="30">
        <v>33.0</v>
      </c>
      <c r="G137" s="32">
        <f t="shared" ref="G137:H137" si="162">G136</f>
        <v>46346</v>
      </c>
      <c r="H137" s="32">
        <f t="shared" si="162"/>
        <v>46346</v>
      </c>
      <c r="I137" s="33">
        <v>3.25</v>
      </c>
      <c r="J137" s="38" t="s">
        <v>75</v>
      </c>
      <c r="K137" s="35">
        <f t="shared" ref="K137:K138" si="164">IF(J137="Done",1,IF(J137="In progress",0.5,0))</f>
        <v>0</v>
      </c>
      <c r="L137" s="36">
        <f t="shared" ref="L137:L138" si="165">I137*K137</f>
        <v>0</v>
      </c>
      <c r="M137" s="37"/>
      <c r="N137" s="51" t="str">
        <f>HYPERLINK("https://www.youtube.com/results?search_query=github+actions+deploy+ssh+docker","YouTube: github actions deploy ssh docker")</f>
        <v>YouTube: github actions deploy ssh docker</v>
      </c>
      <c r="O137" s="51" t="str">
        <f>HYPERLINK("https://docs.github.com/en/actions","GitHub Actions docs")</f>
        <v>GitHub Actions docs</v>
      </c>
    </row>
    <row r="138" ht="15.75" customHeight="1" outlineLevel="3">
      <c r="A138" s="30" t="s">
        <v>283</v>
      </c>
      <c r="B138" s="30">
        <v>4.0</v>
      </c>
      <c r="C138" s="31" t="s">
        <v>284</v>
      </c>
      <c r="D138" s="30" t="s">
        <v>27</v>
      </c>
      <c r="E138" s="30">
        <v>7.0</v>
      </c>
      <c r="F138" s="30">
        <v>33.0</v>
      </c>
      <c r="G138" s="32">
        <f t="shared" ref="G138:H138" si="163">G136</f>
        <v>46346</v>
      </c>
      <c r="H138" s="32">
        <f t="shared" si="163"/>
        <v>46346</v>
      </c>
      <c r="I138" s="33">
        <v>3.25</v>
      </c>
      <c r="J138" s="38" t="s">
        <v>75</v>
      </c>
      <c r="K138" s="35">
        <f t="shared" si="164"/>
        <v>0</v>
      </c>
      <c r="L138" s="36">
        <f t="shared" si="165"/>
        <v>0</v>
      </c>
      <c r="M138" s="37"/>
      <c r="N138" s="51" t="str">
        <f>HYPERLINK("https://www.youtube.com/results?search_query=claude+api+tutorial","YouTube: claude api tutorial")</f>
        <v>YouTube: claude api tutorial</v>
      </c>
      <c r="O138" s="51" t="str">
        <f>HYPERLINK("https://docs.anthropic.com/","Anthropic docs")</f>
        <v>Anthropic docs</v>
      </c>
    </row>
    <row r="139" ht="15.75" customHeight="1" outlineLevel="2">
      <c r="A139" s="22" t="s">
        <v>285</v>
      </c>
      <c r="B139" s="23">
        <v>3.0</v>
      </c>
      <c r="C139" s="24" t="s">
        <v>286</v>
      </c>
      <c r="D139" s="23" t="s">
        <v>24</v>
      </c>
      <c r="E139" s="23">
        <v>7.0</v>
      </c>
      <c r="F139" s="23">
        <v>34.0</v>
      </c>
      <c r="G139" s="25">
        <f>WORKDAY($C$2,F139-1)</f>
        <v>46349</v>
      </c>
      <c r="H139" s="25">
        <f>G139</f>
        <v>46349</v>
      </c>
      <c r="I139" s="26">
        <f>SUM(I140:I142)</f>
        <v>6.51</v>
      </c>
      <c r="J139" s="23" t="str">
        <f>IF(COUNTIF(J140:J142,"Done")+COUNTIF(J140:J142,"Cut")=3,"Done",IF(COUNTIF(J140:J142,"Not started")=3,"Not started","In progress"))</f>
        <v>Not started</v>
      </c>
      <c r="K139" s="27">
        <f>IF(I139=0,0,L139/I139)</f>
        <v>0</v>
      </c>
      <c r="L139" s="28">
        <f>SUM(L140:L142)</f>
        <v>0</v>
      </c>
      <c r="M139" s="29"/>
      <c r="N139" s="29"/>
      <c r="O139" s="29"/>
    </row>
    <row r="140" ht="15.75" customHeight="1" outlineLevel="3">
      <c r="A140" s="30" t="s">
        <v>287</v>
      </c>
      <c r="B140" s="30">
        <v>4.0</v>
      </c>
      <c r="C140" s="31" t="s">
        <v>288</v>
      </c>
      <c r="D140" s="30" t="s">
        <v>27</v>
      </c>
      <c r="E140" s="30">
        <v>7.0</v>
      </c>
      <c r="F140" s="30">
        <v>34.0</v>
      </c>
      <c r="G140" s="32">
        <f t="shared" ref="G140:H140" si="166">G139</f>
        <v>46349</v>
      </c>
      <c r="H140" s="32">
        <f t="shared" si="166"/>
        <v>46349</v>
      </c>
      <c r="I140" s="33">
        <v>2.17</v>
      </c>
      <c r="J140" s="38" t="s">
        <v>75</v>
      </c>
      <c r="K140" s="35">
        <f t="shared" ref="K140:K142" si="168">IF(J140="Done",1,IF(J140="In progress",0.5,0))</f>
        <v>0</v>
      </c>
      <c r="L140" s="36">
        <f t="shared" ref="L140:L142" si="169">I140*K140</f>
        <v>0</v>
      </c>
      <c r="M140" s="37"/>
      <c r="N140" s="51" t="str">
        <f>HYPERLINK("https://www.youtube.com/results?search_query=c4+model+architecture+diagrams","YouTube: c4 model architecture diagrams")</f>
        <v>YouTube: c4 model architecture diagrams</v>
      </c>
      <c r="O140" s="51" t="str">
        <f>HYPERLINK("https://c4model.com/","C4 model")</f>
        <v>C4 model</v>
      </c>
    </row>
    <row r="141" ht="15.75" customHeight="1" outlineLevel="3">
      <c r="A141" s="30" t="s">
        <v>289</v>
      </c>
      <c r="B141" s="30">
        <v>4.0</v>
      </c>
      <c r="C141" s="31" t="s">
        <v>290</v>
      </c>
      <c r="D141" s="30" t="s">
        <v>27</v>
      </c>
      <c r="E141" s="30">
        <v>7.0</v>
      </c>
      <c r="F141" s="30">
        <v>34.0</v>
      </c>
      <c r="G141" s="32">
        <f t="shared" ref="G141:H141" si="167">G139</f>
        <v>46349</v>
      </c>
      <c r="H141" s="32">
        <f t="shared" si="167"/>
        <v>46349</v>
      </c>
      <c r="I141" s="33">
        <v>2.17</v>
      </c>
      <c r="J141" s="38" t="s">
        <v>75</v>
      </c>
      <c r="K141" s="35">
        <f t="shared" si="168"/>
        <v>0</v>
      </c>
      <c r="L141" s="36">
        <f t="shared" si="169"/>
        <v>0</v>
      </c>
      <c r="M141" s="37"/>
      <c r="N141" s="51" t="str">
        <f>HYPERLINK("https://www.youtube.com/results?search_query=architecture+decision+records","YouTube: architecture decision records")</f>
        <v>YouTube: architecture decision records</v>
      </c>
      <c r="O141" s="51" t="str">
        <f>HYPERLINK("https://adr.github.io/","ADR GitHub organization")</f>
        <v>ADR GitHub organization</v>
      </c>
    </row>
    <row r="142" ht="15.75" customHeight="1" outlineLevel="3">
      <c r="A142" s="30" t="s">
        <v>291</v>
      </c>
      <c r="B142" s="30">
        <v>4.0</v>
      </c>
      <c r="C142" s="31" t="s">
        <v>292</v>
      </c>
      <c r="D142" s="30" t="s">
        <v>27</v>
      </c>
      <c r="E142" s="30">
        <v>7.0</v>
      </c>
      <c r="F142" s="30">
        <v>34.0</v>
      </c>
      <c r="G142" s="32">
        <f t="shared" ref="G142:H142" si="170">G139</f>
        <v>46349</v>
      </c>
      <c r="H142" s="32">
        <f t="shared" si="170"/>
        <v>46349</v>
      </c>
      <c r="I142" s="33">
        <v>2.17</v>
      </c>
      <c r="J142" s="38" t="s">
        <v>75</v>
      </c>
      <c r="K142" s="35">
        <f t="shared" si="168"/>
        <v>0</v>
      </c>
      <c r="L142" s="36">
        <f t="shared" si="169"/>
        <v>0</v>
      </c>
      <c r="M142" s="37"/>
      <c r="N142" s="51" t="str">
        <f>HYPERLINK("https://www.youtube.com/results?search_query=aws+ec2+stop+instance+save+cost","YouTube: aws ec2 stop instance save cost")</f>
        <v>YouTube: aws ec2 stop instance save cost</v>
      </c>
      <c r="O142" s="51" t="str">
        <f>HYPERLINK("https://docs.aws.amazon.com/ec2/","AWS EC2 docs")</f>
        <v>AWS EC2 docs</v>
      </c>
    </row>
    <row r="143" ht="15.75" customHeight="1" outlineLevel="2">
      <c r="A143" s="22" t="s">
        <v>293</v>
      </c>
      <c r="B143" s="23">
        <v>3.0</v>
      </c>
      <c r="C143" s="24" t="s">
        <v>294</v>
      </c>
      <c r="D143" s="23" t="s">
        <v>24</v>
      </c>
      <c r="E143" s="23">
        <v>7.0</v>
      </c>
      <c r="F143" s="23">
        <v>35.0</v>
      </c>
      <c r="G143" s="25">
        <f>WORKDAY($C$2,F143-1)</f>
        <v>46350</v>
      </c>
      <c r="H143" s="25">
        <f>G143</f>
        <v>46350</v>
      </c>
      <c r="I143" s="26">
        <f>SUM(I144:I146)</f>
        <v>6.51</v>
      </c>
      <c r="J143" s="23" t="str">
        <f>IF(COUNTIF(J144:J146,"Done")+COUNTIF(J144:J146,"Cut")=3,"Done",IF(COUNTIF(J144:J146,"Not started")=3,"Not started","In progress"))</f>
        <v>Not started</v>
      </c>
      <c r="K143" s="27">
        <f>IF(I143=0,0,L143/I143)</f>
        <v>0</v>
      </c>
      <c r="L143" s="28">
        <f>SUM(L144:L146)</f>
        <v>0</v>
      </c>
      <c r="M143" s="29"/>
      <c r="N143" s="29"/>
      <c r="O143" s="29"/>
    </row>
    <row r="144" ht="15.75" customHeight="1" outlineLevel="3">
      <c r="A144" s="30" t="s">
        <v>295</v>
      </c>
      <c r="B144" s="30">
        <v>4.0</v>
      </c>
      <c r="C144" s="31" t="s">
        <v>296</v>
      </c>
      <c r="D144" s="30" t="s">
        <v>27</v>
      </c>
      <c r="E144" s="30">
        <v>7.0</v>
      </c>
      <c r="F144" s="30">
        <v>35.0</v>
      </c>
      <c r="G144" s="32">
        <f t="shared" ref="G144:H144" si="171">G143</f>
        <v>46350</v>
      </c>
      <c r="H144" s="32">
        <f t="shared" si="171"/>
        <v>46350</v>
      </c>
      <c r="I144" s="33">
        <v>2.17</v>
      </c>
      <c r="J144" s="38" t="s">
        <v>75</v>
      </c>
      <c r="K144" s="35">
        <f t="shared" ref="K144:K146" si="173">IF(J144="Done",1,IF(J144="In progress",0.5,0))</f>
        <v>0</v>
      </c>
      <c r="L144" s="36">
        <f t="shared" ref="L144:L146" si="174">I144*K144</f>
        <v>0</v>
      </c>
      <c r="M144" s="37"/>
      <c r="N144" s="51" t="str">
        <f>HYPERLINK("https://www.youtube.com/results?search_query=how+to+describe+projects+on+resume+software+engineer","YouTube: how to describe projects on resume software engineer")</f>
        <v>YouTube: how to describe projects on resume software engineer</v>
      </c>
      <c r="O144" s="51" t="str">
        <f>HYPERLINK("https://www.google.com/search?q=software+engineer+resume+project+quantified+impact","Search: software engineer resume project quantified impact")</f>
        <v>Search: software engineer resume project quantified impact</v>
      </c>
    </row>
    <row r="145" ht="15.75" customHeight="1" outlineLevel="3">
      <c r="A145" s="30" t="s">
        <v>297</v>
      </c>
      <c r="B145" s="30">
        <v>4.0</v>
      </c>
      <c r="C145" s="31" t="s">
        <v>298</v>
      </c>
      <c r="D145" s="30" t="s">
        <v>27</v>
      </c>
      <c r="E145" s="30">
        <v>7.0</v>
      </c>
      <c r="F145" s="30">
        <v>35.0</v>
      </c>
      <c r="G145" s="32">
        <f t="shared" ref="G145:H145" si="172">G143</f>
        <v>46350</v>
      </c>
      <c r="H145" s="32">
        <f t="shared" si="172"/>
        <v>46350</v>
      </c>
      <c r="I145" s="33">
        <v>2.17</v>
      </c>
      <c r="J145" s="38" t="s">
        <v>75</v>
      </c>
      <c r="K145" s="35">
        <f t="shared" si="173"/>
        <v>0</v>
      </c>
      <c r="L145" s="36">
        <f t="shared" si="174"/>
        <v>0</v>
      </c>
      <c r="M145" s="37"/>
      <c r="N145" s="51" t="str">
        <f>HYPERLINK("https://www.youtube.com/results?search_query=system+design+interview+multi+tenant+saas","YouTube: system design interview multi tenant saas")</f>
        <v>YouTube: system design interview multi tenant saas</v>
      </c>
      <c r="O145" s="51" t="str">
        <f>HYPERLINK("https://www.google.com/search?q=laravel+senior+developer+interview+questions","Search: laravel senior developer interview questions")</f>
        <v>Search: laravel senior developer interview questions</v>
      </c>
    </row>
    <row r="146" ht="15.75" customHeight="1" outlineLevel="3">
      <c r="A146" s="30" t="s">
        <v>299</v>
      </c>
      <c r="B146" s="30">
        <v>4.0</v>
      </c>
      <c r="C146" s="31" t="s">
        <v>300</v>
      </c>
      <c r="D146" s="30" t="s">
        <v>27</v>
      </c>
      <c r="E146" s="30">
        <v>7.0</v>
      </c>
      <c r="F146" s="30">
        <v>35.0</v>
      </c>
      <c r="G146" s="32">
        <f t="shared" ref="G146:H146" si="175">G143</f>
        <v>46350</v>
      </c>
      <c r="H146" s="32">
        <f t="shared" si="175"/>
        <v>46350</v>
      </c>
      <c r="I146" s="33">
        <v>2.17</v>
      </c>
      <c r="J146" s="38" t="s">
        <v>75</v>
      </c>
      <c r="K146" s="35">
        <f t="shared" si="173"/>
        <v>0</v>
      </c>
      <c r="L146" s="36">
        <f t="shared" si="174"/>
        <v>0</v>
      </c>
      <c r="M146" s="37"/>
      <c r="N146" s="51" t="str">
        <f>HYPERLINK("https://www.youtube.com/results?search_query=linkedin+post+developer+portfolio+project","YouTube: linkedin post developer portfolio project")</f>
        <v>YouTube: linkedin post developer portfolio project</v>
      </c>
      <c r="O146" s="51" t="str">
        <f>HYPERLINK("https://www.google.com/search?q=linkedin+post+developer+portfolio+project","Search: linkedin post developer portfolio project")</f>
        <v>Search: linkedin post developer portfolio project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O$146"/>
  <conditionalFormatting sqref="J6:J146">
    <cfRule type="cellIs" dxfId="0" priority="1" operator="equal">
      <formula>"Done"</formula>
    </cfRule>
    <cfRule type="cellIs" dxfId="1" priority="2" operator="equal">
      <formula>"In progress"</formula>
    </cfRule>
  </conditionalFormatting>
  <dataValidations>
    <dataValidation type="list" allowBlank="1" sqref="J9:J12 J14:J16 J18:J20 J22:J24 J26:J29 J32:J33 J35:J36 J38:J40 J42:J44 J46:J48 J51:J53 J55:J57 J59:J60 J62:J64 J66:J68 J71:J73 J75:J76 J78:J80 J82:J84 J86:J88 J91:J93 J95:J96 J98:J100 J102:J104 J106:J108 J111:J112 J114:J115 J117:J118 J120:J122 J124:J126 J129:J131 J133:J135 J137:J138 J140:J142 J144:J146">
      <formula1>"Not started,In progress,Done,Cut"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4.0"/>
    <col customWidth="1" min="3" max="4" width="13.0"/>
    <col customWidth="1" min="5" max="5" width="11.0"/>
    <col customWidth="1" min="6" max="6" width="13.0"/>
    <col customWidth="1" min="7" max="7" width="12.0"/>
    <col customWidth="1" min="8" max="9" width="11.0"/>
    <col customWidth="1" min="10" max="26" width="8.71"/>
  </cols>
  <sheetData>
    <row r="1">
      <c r="A1" s="39" t="s">
        <v>301</v>
      </c>
    </row>
    <row r="3">
      <c r="A3" s="40" t="s">
        <v>7</v>
      </c>
      <c r="B3" s="40" t="s">
        <v>21</v>
      </c>
      <c r="C3" s="40" t="s">
        <v>9</v>
      </c>
      <c r="D3" s="40" t="s">
        <v>10</v>
      </c>
      <c r="E3" s="40" t="s">
        <v>11</v>
      </c>
      <c r="F3" s="40" t="s">
        <v>14</v>
      </c>
      <c r="G3" s="40" t="s">
        <v>13</v>
      </c>
      <c r="H3" s="40" t="s">
        <v>302</v>
      </c>
      <c r="I3" s="40" t="s">
        <v>303</v>
      </c>
    </row>
    <row r="4">
      <c r="A4" s="41">
        <v>1.0</v>
      </c>
      <c r="B4" s="42" t="str">
        <f>WBS!C7</f>
        <v>Week 1: Foundations</v>
      </c>
      <c r="C4" s="43">
        <f>WBS!G7</f>
        <v>46302</v>
      </c>
      <c r="D4" s="43">
        <f>WBS!H7</f>
        <v>46302</v>
      </c>
      <c r="E4" s="44">
        <f>WBS!I7</f>
        <v>32.49</v>
      </c>
      <c r="F4" s="44">
        <f>WBS!L7</f>
        <v>32.49</v>
      </c>
      <c r="G4" s="45">
        <f t="shared" ref="G4:G11" si="1">IF(E4=0,0,F4/E4)</f>
        <v>1</v>
      </c>
      <c r="H4" s="41">
        <f>COUNTIFS(WBS!$E$6:$E$146,A4,WBS!$D$6:$D$146,"Task",WBS!$J$6:$J$146,"Done")</f>
        <v>17</v>
      </c>
      <c r="I4" s="41">
        <f>COUNTIFS(WBS!$E$6:$E$146,A4,WBS!$D$6:$D$146,"Task")</f>
        <v>17</v>
      </c>
    </row>
    <row r="5">
      <c r="A5" s="41">
        <v>2.0</v>
      </c>
      <c r="B5" s="42" t="str">
        <f>WBS!C30</f>
        <v>Week 2: Frontend</v>
      </c>
      <c r="C5" s="43">
        <f>WBS!G30</f>
        <v>46309</v>
      </c>
      <c r="D5" s="43">
        <f>WBS!H30</f>
        <v>46315</v>
      </c>
      <c r="E5" s="44">
        <f>WBS!I30</f>
        <v>32.53</v>
      </c>
      <c r="F5" s="44">
        <f>WBS!L30</f>
        <v>3.25</v>
      </c>
      <c r="G5" s="45">
        <f t="shared" si="1"/>
        <v>0.09990777744</v>
      </c>
      <c r="H5" s="41">
        <f>COUNTIFS(WBS!$E$6:$E$146,A5,WBS!$D$6:$D$146,"Task",WBS!$J$6:$J$146,"Done")</f>
        <v>1</v>
      </c>
      <c r="I5" s="41">
        <f>COUNTIFS(WBS!$E$6:$E$146,A5,WBS!$D$6:$D$146,"Task")</f>
        <v>13</v>
      </c>
    </row>
    <row r="6">
      <c r="A6" s="41">
        <v>3.0</v>
      </c>
      <c r="B6" s="42" t="str">
        <f>WBS!C49</f>
        <v>Week 3: Business logic</v>
      </c>
      <c r="C6" s="43">
        <f>WBS!G49</f>
        <v>46316</v>
      </c>
      <c r="D6" s="43">
        <f>WBS!H49</f>
        <v>46322</v>
      </c>
      <c r="E6" s="44">
        <f>WBS!I49</f>
        <v>32.54</v>
      </c>
      <c r="F6" s="44">
        <f>WBS!L49</f>
        <v>0</v>
      </c>
      <c r="G6" s="45">
        <f t="shared" si="1"/>
        <v>0</v>
      </c>
      <c r="H6" s="41">
        <f>COUNTIFS(WBS!$E$6:$E$146,A6,WBS!$D$6:$D$146,"Task",WBS!$J$6:$J$146,"Done")</f>
        <v>0</v>
      </c>
      <c r="I6" s="41">
        <f>COUNTIFS(WBS!$E$6:$E$146,A6,WBS!$D$6:$D$146,"Task")</f>
        <v>14</v>
      </c>
    </row>
    <row r="7">
      <c r="A7" s="41">
        <v>4.0</v>
      </c>
      <c r="B7" s="42" t="str">
        <f>WBS!C69</f>
        <v>Week 4: Python + FastAPI</v>
      </c>
      <c r="C7" s="43">
        <f>WBS!G69</f>
        <v>46323</v>
      </c>
      <c r="D7" s="43">
        <f>WBS!H69</f>
        <v>46329</v>
      </c>
      <c r="E7" s="44">
        <f>WBS!I69</f>
        <v>32.54</v>
      </c>
      <c r="F7" s="44">
        <f>WBS!L69</f>
        <v>0</v>
      </c>
      <c r="G7" s="45">
        <f t="shared" si="1"/>
        <v>0</v>
      </c>
      <c r="H7" s="41">
        <f>COUNTIFS(WBS!$E$6:$E$146,A7,WBS!$D$6:$D$146,"Task",WBS!$J$6:$J$146,"Done")</f>
        <v>0</v>
      </c>
      <c r="I7" s="41">
        <f>COUNTIFS(WBS!$E$6:$E$146,A7,WBS!$D$6:$D$146,"Task")</f>
        <v>14</v>
      </c>
    </row>
    <row r="8">
      <c r="A8" s="41">
        <v>5.0</v>
      </c>
      <c r="B8" s="42" t="str">
        <f>WBS!C89</f>
        <v>Week 5: AI features</v>
      </c>
      <c r="C8" s="43">
        <f>WBS!G89</f>
        <v>46330</v>
      </c>
      <c r="D8" s="43">
        <f>WBS!H89</f>
        <v>46336</v>
      </c>
      <c r="E8" s="44">
        <f>WBS!I89</f>
        <v>32.54</v>
      </c>
      <c r="F8" s="44">
        <f>WBS!L89</f>
        <v>0</v>
      </c>
      <c r="G8" s="45">
        <f t="shared" si="1"/>
        <v>0</v>
      </c>
      <c r="H8" s="41">
        <f>COUNTIFS(WBS!$E$6:$E$146,A8,WBS!$D$6:$D$146,"Task",WBS!$J$6:$J$146,"Done")</f>
        <v>0</v>
      </c>
      <c r="I8" s="41">
        <f>COUNTIFS(WBS!$E$6:$E$146,A8,WBS!$D$6:$D$146,"Task")</f>
        <v>14</v>
      </c>
    </row>
    <row r="9">
      <c r="A9" s="41">
        <v>6.0</v>
      </c>
      <c r="B9" s="42" t="str">
        <f>WBS!C109</f>
        <v>Week 6: Senior-grade quality</v>
      </c>
      <c r="C9" s="43">
        <f>WBS!G109</f>
        <v>46337</v>
      </c>
      <c r="D9" s="43">
        <f>WBS!H109</f>
        <v>46343</v>
      </c>
      <c r="E9" s="44">
        <f>WBS!I109</f>
        <v>32.52</v>
      </c>
      <c r="F9" s="44">
        <f>WBS!L109</f>
        <v>0</v>
      </c>
      <c r="G9" s="45">
        <f t="shared" si="1"/>
        <v>0</v>
      </c>
      <c r="H9" s="41">
        <f>COUNTIFS(WBS!$E$6:$E$146,A9,WBS!$D$6:$D$146,"Task",WBS!$J$6:$J$146,"Done")</f>
        <v>0</v>
      </c>
      <c r="I9" s="41">
        <f>COUNTIFS(WBS!$E$6:$E$146,A9,WBS!$D$6:$D$146,"Task")</f>
        <v>12</v>
      </c>
    </row>
    <row r="10">
      <c r="A10" s="41">
        <v>7.0</v>
      </c>
      <c r="B10" s="42" t="str">
        <f>WBS!C127</f>
        <v>Week 7: Deploy + showcase</v>
      </c>
      <c r="C10" s="43">
        <f>WBS!G127</f>
        <v>46344</v>
      </c>
      <c r="D10" s="43">
        <f>WBS!H127</f>
        <v>46350</v>
      </c>
      <c r="E10" s="44">
        <f>WBS!I127</f>
        <v>32.54</v>
      </c>
      <c r="F10" s="44">
        <f>WBS!L127</f>
        <v>0</v>
      </c>
      <c r="G10" s="45">
        <f t="shared" si="1"/>
        <v>0</v>
      </c>
      <c r="H10" s="41">
        <f>COUNTIFS(WBS!$E$6:$E$146,A10,WBS!$D$6:$D$146,"Task",WBS!$J$6:$J$146,"Done")</f>
        <v>0</v>
      </c>
      <c r="I10" s="41">
        <f>COUNTIFS(WBS!$E$6:$E$146,A10,WBS!$D$6:$D$146,"Task")</f>
        <v>14</v>
      </c>
    </row>
    <row r="11">
      <c r="A11" s="46"/>
      <c r="B11" s="47" t="s">
        <v>304</v>
      </c>
      <c r="C11" s="48">
        <f>C4</f>
        <v>46302</v>
      </c>
      <c r="D11" s="48">
        <f>D10</f>
        <v>46350</v>
      </c>
      <c r="E11" s="49">
        <f t="shared" ref="E11:F11" si="2">SUM(E4:E10)</f>
        <v>227.7</v>
      </c>
      <c r="F11" s="49">
        <f t="shared" si="2"/>
        <v>35.74</v>
      </c>
      <c r="G11" s="50">
        <f t="shared" si="1"/>
        <v>0.1569609135</v>
      </c>
      <c r="H11" s="46">
        <f t="shared" ref="H11:I11" si="3">SUM(H4:H10)</f>
        <v>18</v>
      </c>
      <c r="I11" s="46">
        <f t="shared" si="3"/>
        <v>98</v>
      </c>
    </row>
    <row r="13">
      <c r="A13" s="4" t="s">
        <v>305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